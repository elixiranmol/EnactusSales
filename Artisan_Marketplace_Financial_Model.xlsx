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lakshya\Downloads\"/>
    </mc:Choice>
  </mc:AlternateContent>
  <xr:revisionPtr revIDLastSave="0" documentId="13_ncr:1_{51685F34-7AAA-4D5C-AD16-D8C78DF95657}" xr6:coauthVersionLast="40" xr6:coauthVersionMax="40" xr10:uidLastSave="{00000000-0000-0000-0000-000000000000}"/>
  <bookViews>
    <workbookView xWindow="0" yWindow="0" windowWidth="21525" windowHeight="7770" tabRatio="500" activeTab="6" xr2:uid="{00000000-000D-0000-FFFF-FFFF00000000}"/>
  </bookViews>
  <sheets>
    <sheet name="1_Assumptions" sheetId="1" r:id="rId1"/>
    <sheet name="2_Artisans" sheetId="2" r:id="rId2"/>
    <sheet name="3_Demand" sheetId="3" r:id="rId3"/>
    <sheet name="4_Costs" sheetId="4" r:id="rId4"/>
    <sheet name="5_P&amp;L" sheetId="5" r:id="rId5"/>
    <sheet name="6_UnitEconomics" sheetId="6" r:id="rId6"/>
    <sheet name="7_Scenarios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7" l="1"/>
  <c r="J18" i="5"/>
  <c r="G17" i="5"/>
  <c r="M13" i="4"/>
  <c r="M20" i="5" s="1"/>
  <c r="L13" i="4"/>
  <c r="L20" i="5" s="1"/>
  <c r="K13" i="4"/>
  <c r="K20" i="5" s="1"/>
  <c r="J13" i="4"/>
  <c r="J20" i="5" s="1"/>
  <c r="I13" i="4"/>
  <c r="I20" i="5" s="1"/>
  <c r="H13" i="4"/>
  <c r="H20" i="5" s="1"/>
  <c r="G13" i="4"/>
  <c r="G20" i="5" s="1"/>
  <c r="F13" i="4"/>
  <c r="F20" i="5" s="1"/>
  <c r="E13" i="4"/>
  <c r="E20" i="5" s="1"/>
  <c r="D13" i="4"/>
  <c r="D20" i="5" s="1"/>
  <c r="C13" i="4"/>
  <c r="C20" i="5" s="1"/>
  <c r="B13" i="4"/>
  <c r="B20" i="5" s="1"/>
  <c r="M12" i="4"/>
  <c r="M19" i="5" s="1"/>
  <c r="L12" i="4"/>
  <c r="L19" i="5" s="1"/>
  <c r="K12" i="4"/>
  <c r="K19" i="5" s="1"/>
  <c r="J12" i="4"/>
  <c r="J19" i="5" s="1"/>
  <c r="I12" i="4"/>
  <c r="I19" i="5" s="1"/>
  <c r="H12" i="4"/>
  <c r="H19" i="5" s="1"/>
  <c r="G12" i="4"/>
  <c r="G19" i="5" s="1"/>
  <c r="F12" i="4"/>
  <c r="F19" i="5" s="1"/>
  <c r="E12" i="4"/>
  <c r="E19" i="5" s="1"/>
  <c r="D12" i="4"/>
  <c r="D19" i="5" s="1"/>
  <c r="C12" i="4"/>
  <c r="C19" i="5" s="1"/>
  <c r="B12" i="4"/>
  <c r="B19" i="5" s="1"/>
  <c r="M11" i="4"/>
  <c r="M18" i="5" s="1"/>
  <c r="L11" i="4"/>
  <c r="L18" i="5" s="1"/>
  <c r="K11" i="4"/>
  <c r="K18" i="5" s="1"/>
  <c r="J11" i="4"/>
  <c r="I11" i="4"/>
  <c r="I18" i="5" s="1"/>
  <c r="H11" i="4"/>
  <c r="H18" i="5" s="1"/>
  <c r="G11" i="4"/>
  <c r="G18" i="5" s="1"/>
  <c r="F11" i="4"/>
  <c r="F18" i="5" s="1"/>
  <c r="E11" i="4"/>
  <c r="E18" i="5" s="1"/>
  <c r="D11" i="4"/>
  <c r="D18" i="5" s="1"/>
  <c r="C11" i="4"/>
  <c r="B11" i="4"/>
  <c r="B18" i="5" s="1"/>
  <c r="M10" i="4"/>
  <c r="M14" i="4" s="1"/>
  <c r="M21" i="5" s="1"/>
  <c r="L10" i="4"/>
  <c r="L14" i="4" s="1"/>
  <c r="L21" i="5" s="1"/>
  <c r="K10" i="4"/>
  <c r="K14" i="4" s="1"/>
  <c r="K21" i="5" s="1"/>
  <c r="J10" i="4"/>
  <c r="I10" i="4"/>
  <c r="I14" i="4" s="1"/>
  <c r="I21" i="5" s="1"/>
  <c r="H10" i="4"/>
  <c r="H14" i="4" s="1"/>
  <c r="H21" i="5" s="1"/>
  <c r="G10" i="4"/>
  <c r="F10" i="4"/>
  <c r="F17" i="5" s="1"/>
  <c r="E10" i="4"/>
  <c r="E17" i="5" s="1"/>
  <c r="D10" i="4"/>
  <c r="C10" i="4"/>
  <c r="B10" i="4"/>
  <c r="B8" i="3"/>
  <c r="C8" i="3" s="1"/>
  <c r="B4" i="3"/>
  <c r="C4" i="3" s="1"/>
  <c r="B14" i="2"/>
  <c r="B13" i="2"/>
  <c r="B12" i="2"/>
  <c r="B11" i="2"/>
  <c r="B10" i="2"/>
  <c r="B9" i="2"/>
  <c r="B8" i="2"/>
  <c r="B7" i="2"/>
  <c r="B6" i="2"/>
  <c r="B5" i="2"/>
  <c r="B4" i="2"/>
  <c r="B3" i="2"/>
  <c r="C3" i="2" s="1"/>
  <c r="D4" i="3" l="1"/>
  <c r="C10" i="3"/>
  <c r="C4" i="5" s="1"/>
  <c r="C5" i="3"/>
  <c r="C5" i="5" s="1"/>
  <c r="C4" i="2"/>
  <c r="D3" i="2"/>
  <c r="E3" i="2" s="1"/>
  <c r="J14" i="4"/>
  <c r="J21" i="5" s="1"/>
  <c r="C18" i="5"/>
  <c r="N11" i="4"/>
  <c r="C17" i="5"/>
  <c r="C14" i="4"/>
  <c r="C21" i="5" s="1"/>
  <c r="D8" i="3"/>
  <c r="N19" i="5"/>
  <c r="B10" i="3"/>
  <c r="N10" i="4"/>
  <c r="B5" i="3"/>
  <c r="N18" i="5"/>
  <c r="B17" i="5"/>
  <c r="B14" i="4"/>
  <c r="D17" i="5"/>
  <c r="D14" i="4"/>
  <c r="D21" i="5" s="1"/>
  <c r="G14" i="4"/>
  <c r="G21" i="5" s="1"/>
  <c r="N20" i="5"/>
  <c r="N13" i="4"/>
  <c r="H17" i="5"/>
  <c r="I17" i="5"/>
  <c r="J17" i="5"/>
  <c r="N12" i="4"/>
  <c r="K17" i="5"/>
  <c r="E14" i="4"/>
  <c r="E21" i="5" s="1"/>
  <c r="L17" i="5"/>
  <c r="F14" i="4"/>
  <c r="F21" i="5" s="1"/>
  <c r="M17" i="5"/>
  <c r="B5" i="5" l="1"/>
  <c r="E8" i="3"/>
  <c r="C6" i="3"/>
  <c r="B21" i="5"/>
  <c r="N14" i="4"/>
  <c r="N17" i="5"/>
  <c r="B4" i="5"/>
  <c r="B6" i="3"/>
  <c r="C5" i="2"/>
  <c r="D4" i="2"/>
  <c r="E4" i="2" s="1"/>
  <c r="E4" i="3"/>
  <c r="D10" i="3"/>
  <c r="D4" i="5" s="1"/>
  <c r="D5" i="3"/>
  <c r="D5" i="5" s="1"/>
  <c r="B6" i="4" l="1"/>
  <c r="B7" i="4"/>
  <c r="B3" i="6"/>
  <c r="B11" i="3"/>
  <c r="B5" i="4"/>
  <c r="B13" i="6"/>
  <c r="N21" i="5"/>
  <c r="E10" i="3"/>
  <c r="F4" i="3"/>
  <c r="E5" i="3"/>
  <c r="E5" i="5" s="1"/>
  <c r="C5" i="4"/>
  <c r="C11" i="3"/>
  <c r="C6" i="4"/>
  <c r="C7" i="4"/>
  <c r="C3" i="6"/>
  <c r="C13" i="6"/>
  <c r="D6" i="3"/>
  <c r="F8" i="3"/>
  <c r="D5" i="2"/>
  <c r="E5" i="2" s="1"/>
  <c r="C6" i="2"/>
  <c r="E6" i="3" l="1"/>
  <c r="C6" i="5"/>
  <c r="C7" i="5"/>
  <c r="C4" i="4"/>
  <c r="C10" i="5"/>
  <c r="C7" i="6"/>
  <c r="D6" i="2"/>
  <c r="E6" i="2" s="1"/>
  <c r="C7" i="2"/>
  <c r="F10" i="3"/>
  <c r="F4" i="5" s="1"/>
  <c r="G4" i="3"/>
  <c r="F5" i="3"/>
  <c r="F5" i="5" s="1"/>
  <c r="E4" i="5"/>
  <c r="G8" i="3"/>
  <c r="B10" i="5"/>
  <c r="B7" i="6"/>
  <c r="D6" i="4"/>
  <c r="D7" i="4"/>
  <c r="D11" i="3"/>
  <c r="D3" i="6"/>
  <c r="D5" i="4"/>
  <c r="D13" i="6"/>
  <c r="B6" i="5"/>
  <c r="B7" i="5"/>
  <c r="B4" i="4"/>
  <c r="B9" i="6"/>
  <c r="B12" i="5"/>
  <c r="C9" i="6"/>
  <c r="C12" i="5"/>
  <c r="C11" i="5"/>
  <c r="C8" i="6"/>
  <c r="B11" i="5"/>
  <c r="B8" i="6"/>
  <c r="H4" i="3" l="1"/>
  <c r="G10" i="3"/>
  <c r="G5" i="3"/>
  <c r="G5" i="5" s="1"/>
  <c r="G6" i="3"/>
  <c r="E7" i="4"/>
  <c r="E11" i="3"/>
  <c r="E3" i="6"/>
  <c r="E5" i="4"/>
  <c r="E6" i="4"/>
  <c r="E13" i="6"/>
  <c r="B4" i="6"/>
  <c r="C8" i="2"/>
  <c r="D7" i="2"/>
  <c r="E7" i="2" s="1"/>
  <c r="D12" i="5"/>
  <c r="D9" i="6"/>
  <c r="D11" i="5"/>
  <c r="D8" i="6"/>
  <c r="G13" i="6"/>
  <c r="H8" i="3"/>
  <c r="F6" i="3"/>
  <c r="D10" i="5"/>
  <c r="D7" i="6"/>
  <c r="D6" i="5"/>
  <c r="D7" i="5"/>
  <c r="D4" i="4"/>
  <c r="C6" i="6"/>
  <c r="C8" i="4"/>
  <c r="C9" i="5"/>
  <c r="C4" i="6"/>
  <c r="B8" i="4"/>
  <c r="B9" i="5"/>
  <c r="B6" i="6"/>
  <c r="F6" i="4" l="1"/>
  <c r="F11" i="3"/>
  <c r="F7" i="4"/>
  <c r="F3" i="6"/>
  <c r="F5" i="4"/>
  <c r="F13" i="6"/>
  <c r="E7" i="6"/>
  <c r="E10" i="5"/>
  <c r="B15" i="4"/>
  <c r="B13" i="5"/>
  <c r="E11" i="5"/>
  <c r="E8" i="6"/>
  <c r="E6" i="5"/>
  <c r="E7" i="5"/>
  <c r="E4" i="4"/>
  <c r="I8" i="3"/>
  <c r="E12" i="5"/>
  <c r="E9" i="6"/>
  <c r="C13" i="5"/>
  <c r="C15" i="4"/>
  <c r="G7" i="4"/>
  <c r="G11" i="3"/>
  <c r="G3" i="6"/>
  <c r="G6" i="4"/>
  <c r="G5" i="4"/>
  <c r="G4" i="5"/>
  <c r="D6" i="6"/>
  <c r="D8" i="4"/>
  <c r="D9" i="5"/>
  <c r="D8" i="2"/>
  <c r="E8" i="2" s="1"/>
  <c r="C9" i="2"/>
  <c r="H10" i="3"/>
  <c r="H4" i="5" s="1"/>
  <c r="I4" i="3"/>
  <c r="H5" i="3"/>
  <c r="H5" i="5" s="1"/>
  <c r="D4" i="6"/>
  <c r="B5" i="6" l="1"/>
  <c r="B14" i="5"/>
  <c r="G7" i="6"/>
  <c r="G10" i="5"/>
  <c r="E6" i="6"/>
  <c r="E8" i="4"/>
  <c r="E9" i="5"/>
  <c r="F11" i="5"/>
  <c r="F8" i="6"/>
  <c r="G11" i="5"/>
  <c r="G8" i="6"/>
  <c r="E4" i="6"/>
  <c r="H6" i="3"/>
  <c r="G6" i="5"/>
  <c r="G4" i="4"/>
  <c r="G7" i="5"/>
  <c r="D9" i="2"/>
  <c r="E9" i="2" s="1"/>
  <c r="C10" i="2"/>
  <c r="D13" i="5"/>
  <c r="D15" i="4"/>
  <c r="J8" i="3"/>
  <c r="F7" i="6"/>
  <c r="F10" i="5"/>
  <c r="F12" i="5"/>
  <c r="F9" i="6"/>
  <c r="F6" i="5"/>
  <c r="F4" i="4"/>
  <c r="F7" i="5"/>
  <c r="G12" i="5"/>
  <c r="G9" i="6"/>
  <c r="J4" i="3"/>
  <c r="I5" i="3"/>
  <c r="I5" i="5" s="1"/>
  <c r="I6" i="3"/>
  <c r="I10" i="3"/>
  <c r="C5" i="6"/>
  <c r="C14" i="5"/>
  <c r="G4" i="6" l="1"/>
  <c r="G6" i="6"/>
  <c r="G8" i="4"/>
  <c r="G9" i="5"/>
  <c r="H11" i="3"/>
  <c r="H3" i="6"/>
  <c r="H6" i="4"/>
  <c r="H5" i="4"/>
  <c r="H7" i="4"/>
  <c r="H13" i="6"/>
  <c r="F4" i="6"/>
  <c r="F6" i="6"/>
  <c r="F8" i="4"/>
  <c r="F9" i="5"/>
  <c r="B15" i="5"/>
  <c r="B10" i="6"/>
  <c r="B22" i="5"/>
  <c r="B11" i="6"/>
  <c r="B12" i="6"/>
  <c r="B24" i="5"/>
  <c r="C15" i="5"/>
  <c r="C10" i="6"/>
  <c r="C22" i="5"/>
  <c r="C11" i="6"/>
  <c r="C12" i="6"/>
  <c r="C24" i="5"/>
  <c r="I4" i="5"/>
  <c r="K8" i="3"/>
  <c r="I7" i="4"/>
  <c r="I11" i="3"/>
  <c r="I5" i="4"/>
  <c r="I3" i="6"/>
  <c r="I6" i="4"/>
  <c r="I13" i="6"/>
  <c r="J10" i="3"/>
  <c r="J4" i="5" s="1"/>
  <c r="J6" i="3"/>
  <c r="K4" i="3"/>
  <c r="J5" i="3"/>
  <c r="J5" i="5" s="1"/>
  <c r="D5" i="6"/>
  <c r="D14" i="5"/>
  <c r="C11" i="2"/>
  <c r="D10" i="2"/>
  <c r="E10" i="2" s="1"/>
  <c r="E13" i="5"/>
  <c r="E15" i="4"/>
  <c r="J3" i="6" l="1"/>
  <c r="J11" i="3"/>
  <c r="J5" i="4"/>
  <c r="J6" i="4"/>
  <c r="J7" i="4"/>
  <c r="H12" i="5"/>
  <c r="H9" i="6"/>
  <c r="H7" i="6"/>
  <c r="H10" i="5"/>
  <c r="I8" i="6"/>
  <c r="I11" i="5"/>
  <c r="H11" i="5"/>
  <c r="H8" i="6"/>
  <c r="I7" i="6"/>
  <c r="I10" i="5"/>
  <c r="H6" i="5"/>
  <c r="H7" i="5"/>
  <c r="H4" i="4"/>
  <c r="I6" i="5"/>
  <c r="I7" i="5"/>
  <c r="I4" i="4"/>
  <c r="B23" i="5"/>
  <c r="C23" i="5" s="1"/>
  <c r="D23" i="5" s="1"/>
  <c r="I12" i="5"/>
  <c r="I9" i="6"/>
  <c r="G13" i="5"/>
  <c r="G15" i="4"/>
  <c r="E5" i="6"/>
  <c r="E14" i="5"/>
  <c r="L8" i="3"/>
  <c r="J13" i="6"/>
  <c r="C12" i="2"/>
  <c r="D11" i="2"/>
  <c r="E11" i="2" s="1"/>
  <c r="F13" i="5"/>
  <c r="F15" i="4"/>
  <c r="D10" i="6"/>
  <c r="D22" i="5"/>
  <c r="D11" i="6"/>
  <c r="D15" i="5"/>
  <c r="D12" i="6"/>
  <c r="D24" i="5"/>
  <c r="L4" i="3"/>
  <c r="K5" i="3"/>
  <c r="K5" i="5" s="1"/>
  <c r="K10" i="3"/>
  <c r="K4" i="5" s="1"/>
  <c r="I4" i="6" l="1"/>
  <c r="C13" i="2"/>
  <c r="D12" i="2"/>
  <c r="E12" i="2" s="1"/>
  <c r="K6" i="3"/>
  <c r="L13" i="6"/>
  <c r="M8" i="3"/>
  <c r="E10" i="6"/>
  <c r="E22" i="5"/>
  <c r="E11" i="6"/>
  <c r="E15" i="5"/>
  <c r="E12" i="6"/>
  <c r="E24" i="5"/>
  <c r="J12" i="5"/>
  <c r="J9" i="6"/>
  <c r="J8" i="6"/>
  <c r="J11" i="5"/>
  <c r="J7" i="6"/>
  <c r="J10" i="5"/>
  <c r="F5" i="6"/>
  <c r="F14" i="5"/>
  <c r="I6" i="6"/>
  <c r="I8" i="4"/>
  <c r="I9" i="5"/>
  <c r="H6" i="6"/>
  <c r="H8" i="4"/>
  <c r="H9" i="5"/>
  <c r="L5" i="3"/>
  <c r="L5" i="5" s="1"/>
  <c r="L6" i="3"/>
  <c r="M4" i="3"/>
  <c r="L10" i="3"/>
  <c r="L4" i="5" s="1"/>
  <c r="H4" i="6"/>
  <c r="G5" i="6"/>
  <c r="G14" i="5"/>
  <c r="J6" i="5"/>
  <c r="J7" i="5"/>
  <c r="J4" i="4"/>
  <c r="H13" i="5" l="1"/>
  <c r="H15" i="4"/>
  <c r="J6" i="6"/>
  <c r="J8" i="4"/>
  <c r="J9" i="5"/>
  <c r="G11" i="6"/>
  <c r="G15" i="5"/>
  <c r="G10" i="6"/>
  <c r="G22" i="5"/>
  <c r="G12" i="6"/>
  <c r="G24" i="5"/>
  <c r="D13" i="2"/>
  <c r="E13" i="2" s="1"/>
  <c r="C14" i="2"/>
  <c r="D14" i="2" s="1"/>
  <c r="E14" i="2" s="1"/>
  <c r="M6" i="3"/>
  <c r="M5" i="3"/>
  <c r="M10" i="3"/>
  <c r="N4" i="3"/>
  <c r="E23" i="5"/>
  <c r="F23" i="5" s="1"/>
  <c r="L3" i="6"/>
  <c r="L5" i="4"/>
  <c r="L6" i="4"/>
  <c r="L11" i="3"/>
  <c r="L7" i="4"/>
  <c r="J4" i="6"/>
  <c r="I13" i="5"/>
  <c r="I15" i="4"/>
  <c r="M13" i="6"/>
  <c r="N13" i="6" s="1"/>
  <c r="N8" i="3"/>
  <c r="F10" i="6"/>
  <c r="F22" i="5"/>
  <c r="F11" i="6"/>
  <c r="F15" i="5"/>
  <c r="F12" i="6"/>
  <c r="F24" i="5"/>
  <c r="K3" i="6"/>
  <c r="K11" i="3"/>
  <c r="K5" i="4"/>
  <c r="K6" i="4"/>
  <c r="K7" i="4"/>
  <c r="K13" i="6"/>
  <c r="K12" i="5" l="1"/>
  <c r="K9" i="6"/>
  <c r="N7" i="4"/>
  <c r="K8" i="6"/>
  <c r="K11" i="5"/>
  <c r="K7" i="6"/>
  <c r="K10" i="5"/>
  <c r="K6" i="5"/>
  <c r="K7" i="5"/>
  <c r="K4" i="4"/>
  <c r="N11" i="3"/>
  <c r="L7" i="5"/>
  <c r="L4" i="4"/>
  <c r="L6" i="5"/>
  <c r="L8" i="6"/>
  <c r="L11" i="5"/>
  <c r="G23" i="5"/>
  <c r="M5" i="5"/>
  <c r="N5" i="5" s="1"/>
  <c r="N5" i="3"/>
  <c r="H5" i="6"/>
  <c r="H14" i="5"/>
  <c r="L9" i="6"/>
  <c r="L12" i="5"/>
  <c r="L7" i="6"/>
  <c r="L10" i="5"/>
  <c r="J13" i="5"/>
  <c r="J15" i="4"/>
  <c r="M4" i="5"/>
  <c r="N4" i="5" s="1"/>
  <c r="N10" i="3"/>
  <c r="M3" i="6"/>
  <c r="N3" i="6" s="1"/>
  <c r="M11" i="3"/>
  <c r="M5" i="4"/>
  <c r="M6" i="4"/>
  <c r="M7" i="4"/>
  <c r="N6" i="3"/>
  <c r="I5" i="6"/>
  <c r="I14" i="5"/>
  <c r="L8" i="4" l="1"/>
  <c r="L9" i="5"/>
  <c r="L6" i="6"/>
  <c r="K4" i="6"/>
  <c r="H11" i="6"/>
  <c r="H15" i="5"/>
  <c r="H10" i="6"/>
  <c r="H22" i="5"/>
  <c r="H23" i="5" s="1"/>
  <c r="I23" i="5" s="1"/>
  <c r="H24" i="5"/>
  <c r="H12" i="6"/>
  <c r="J5" i="6"/>
  <c r="J14" i="5"/>
  <c r="M9" i="6"/>
  <c r="N9" i="6" s="1"/>
  <c r="M12" i="5"/>
  <c r="N12" i="5" s="1"/>
  <c r="L4" i="6"/>
  <c r="K9" i="5"/>
  <c r="K6" i="6"/>
  <c r="K8" i="4"/>
  <c r="I11" i="6"/>
  <c r="I15" i="5"/>
  <c r="I10" i="6"/>
  <c r="I22" i="5"/>
  <c r="I24" i="5"/>
  <c r="I12" i="6"/>
  <c r="M8" i="6"/>
  <c r="N8" i="6" s="1"/>
  <c r="M11" i="5"/>
  <c r="N11" i="5" s="1"/>
  <c r="N6" i="4"/>
  <c r="M7" i="6"/>
  <c r="N7" i="6" s="1"/>
  <c r="M10" i="5"/>
  <c r="N10" i="5" s="1"/>
  <c r="N5" i="4"/>
  <c r="M7" i="5"/>
  <c r="M4" i="4"/>
  <c r="M6" i="5"/>
  <c r="N6" i="5" s="1"/>
  <c r="K13" i="5" l="1"/>
  <c r="K15" i="4"/>
  <c r="J15" i="5"/>
  <c r="J10" i="6"/>
  <c r="J22" i="5"/>
  <c r="J23" i="5" s="1"/>
  <c r="J11" i="6"/>
  <c r="J12" i="6"/>
  <c r="J24" i="5"/>
  <c r="M4" i="6"/>
  <c r="N4" i="6" s="1"/>
  <c r="N7" i="5"/>
  <c r="M9" i="5"/>
  <c r="N9" i="5" s="1"/>
  <c r="M6" i="6"/>
  <c r="N6" i="6" s="1"/>
  <c r="M8" i="4"/>
  <c r="N4" i="4"/>
  <c r="L13" i="5"/>
  <c r="L15" i="4"/>
  <c r="L5" i="6" l="1"/>
  <c r="L14" i="5"/>
  <c r="M13" i="5"/>
  <c r="M15" i="4"/>
  <c r="N15" i="4" s="1"/>
  <c r="N8" i="4"/>
  <c r="K5" i="6"/>
  <c r="K14" i="5"/>
  <c r="M5" i="6" l="1"/>
  <c r="N5" i="6" s="1"/>
  <c r="N13" i="5"/>
  <c r="M14" i="5"/>
  <c r="K15" i="5"/>
  <c r="K10" i="6"/>
  <c r="K22" i="5"/>
  <c r="K23" i="5" s="1"/>
  <c r="K11" i="6"/>
  <c r="K12" i="6"/>
  <c r="K24" i="5"/>
  <c r="L15" i="5"/>
  <c r="L10" i="6"/>
  <c r="L22" i="5"/>
  <c r="L11" i="6"/>
  <c r="L12" i="6"/>
  <c r="L24" i="5"/>
  <c r="L23" i="5" l="1"/>
  <c r="M15" i="5"/>
  <c r="N15" i="5" s="1"/>
  <c r="M10" i="6"/>
  <c r="N10" i="6" s="1"/>
  <c r="M22" i="5"/>
  <c r="N22" i="5" s="1"/>
  <c r="M11" i="6"/>
  <c r="N11" i="6" s="1"/>
  <c r="M12" i="6"/>
  <c r="N12" i="6" s="1"/>
  <c r="M24" i="5"/>
  <c r="N14" i="5"/>
  <c r="M23" i="5" l="1"/>
</calcChain>
</file>

<file path=xl/sharedStrings.xml><?xml version="1.0" encoding="utf-8"?>
<sst xmlns="http://schemas.openxmlformats.org/spreadsheetml/2006/main" count="237" uniqueCount="162">
  <si>
    <t>UTTARAKHAND ARTISAN MARKETPLACE — KEY ASSUMPTIONS (Year 1: Jul 2026 – Jun 2027)</t>
  </si>
  <si>
    <t>Blue cells = inputs you can change  |  Yellow background = key assumption</t>
  </si>
  <si>
    <t>A. REVENUE ASSUMPTIONS</t>
  </si>
  <si>
    <t>Commission rate (% of net GMV)</t>
  </si>
  <si>
    <t>%</t>
  </si>
  <si>
    <t>10% — lower than industry avg (15–18%) to keep artisans motivated</t>
  </si>
  <si>
    <t>Payment gateway fee (% of gross GMV)</t>
  </si>
  <si>
    <t>Razorpay/Cashfree standard rate; non-negotiable at this scale</t>
  </si>
  <si>
    <t>Returns &amp; refunds rate</t>
  </si>
  <si>
    <t>5% — handmade goods have quality variance; budget this or it surprises you</t>
  </si>
  <si>
    <t>Average Order Value Month 1 (₹)</t>
  </si>
  <si>
    <t xml:space="preserve">₹ </t>
  </si>
  <si>
    <t>₹650 — realistic for craft impulse buys from unknown brand; NOT ₹2,000+</t>
  </si>
  <si>
    <t>AOV monthly increment (₹)</t>
  </si>
  <si>
    <t>₹20/month — as trust and higher-value items build; reaches ~₹870 by M12</t>
  </si>
  <si>
    <t>B. DEMAND ASSUMPTIONS</t>
  </si>
  <si>
    <t>Starting orders Month 1</t>
  </si>
  <si>
    <t>number</t>
  </si>
  <si>
    <t>8 orders — friends, family, college network. Do NOT project 100+ at launch.</t>
  </si>
  <si>
    <t>Month-on-month order growth rate</t>
  </si>
  <si>
    <t>15% MoM — aggressive but achievable with active social media; slows after M8</t>
  </si>
  <si>
    <t>Repeat purchase rate (% of customers)</t>
  </si>
  <si>
    <t>10% reorder within 3 months — craft is low-frequency, don't over-model this</t>
  </si>
  <si>
    <t>C. ARTISAN &amp; SUPPLY ASSUMPTIONS</t>
  </si>
  <si>
    <t>Total artisans onboarded (first trip)</t>
  </si>
  <si>
    <t>30 artisans — 3 from each of 10 villages; onboarded in Month 1</t>
  </si>
  <si>
    <t>Villages covered</t>
  </si>
  <si>
    <t>Jaunsar, Chakrata, Munsiyari, Pithoragarh, Lansdowne + 5 more</t>
  </si>
  <si>
    <t>Artisans per village</t>
  </si>
  <si>
    <t>3 per village — manageable trust-building; quality &gt; quantity</t>
  </si>
  <si>
    <t>Active selling artisans (% of total)</t>
  </si>
  <si>
    <t>60% active in any month — connectivity, stock, seasonal factors reduce this</t>
  </si>
  <si>
    <t>Products listed per active artisan</t>
  </si>
  <si>
    <t>5 SKUs — teams list 20+ but cannot photograph/manage them. Be honest.</t>
  </si>
  <si>
    <t>New artisans added monthly (M2–M12)</t>
  </si>
  <si>
    <t>2/month — 6 students with academic commitments; quality onboarding only</t>
  </si>
  <si>
    <t>D. VARIABLE COST ASSUMPTIONS (per order)</t>
  </si>
  <si>
    <t>Packaging cost per order (₹)</t>
  </si>
  <si>
    <t>Kraft paper + branded sticker; students routinely forget this cost entirely</t>
  </si>
  <si>
    <t>Shipping subsidy per order (₹)</t>
  </si>
  <si>
    <t>Customer pays shipping, you absorb ₹30 to stay competitive vs Amazon</t>
  </si>
  <si>
    <t>Customer support time cost per order (₹)</t>
  </si>
  <si>
    <t>Proxy for team bandwidth cost; 10 min @ ₹120/hr student opportunity cost</t>
  </si>
  <si>
    <t>E. FIXED COST ASSUMPTIONS (monthly ₹)</t>
  </si>
  <si>
    <t>Website &amp; hosting (₹/month)</t>
  </si>
  <si>
    <t>Shopify Starter or custom stack; use free tiers first, upgrade at Month 4+</t>
  </si>
  <si>
    <t>Marketing &amp; social media (₹/month)</t>
  </si>
  <si>
    <t>Instagram reels + WhatsApp; no paid ads yet. ZERO budget = zero growth.</t>
  </si>
  <si>
    <t>Field travel — artisan visits (₹/month)</t>
  </si>
  <si>
    <t>Transport to villages for support visits, photo shoots, stock checks</t>
  </si>
  <si>
    <t>Miscellaneous &amp; contingency (₹/month)</t>
  </si>
  <si>
    <t>Stationery, SIM, printing, unexpected. Always add 10–15% buffer.</t>
  </si>
  <si>
    <t>COLOUR KEY:  Blue text = input (change these)  |  Yellow fill = key assumption  |  Green text = formula pulling from another sheet  |  Black text = calculated formula</t>
  </si>
  <si>
    <t>Notes</t>
  </si>
  <si>
    <t>Month</t>
  </si>
  <si>
    <t>New Artisans Added</t>
  </si>
  <si>
    <t>Cumulative Artisans</t>
  </si>
  <si>
    <t>Active Artisans (60%)</t>
  </si>
  <si>
    <t>Total Products Listed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</si>
  <si>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</si>
  <si>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</si>
  <si>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</si>
  <si>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</si>
  <si>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</si>
  <si>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</si>
  <si>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</si>
  <si>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</si>
  <si>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</si>
  <si>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</si>
  <si>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</si>
  <si>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</si>
  <si>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DEMAND MODEL — ORDERS, AOV, GMV (Month by Month)</t>
  </si>
  <si>
    <t>Line Item</t>
  </si>
  <si>
    <t>Year 1 Total</t>
  </si>
  <si>
    <t>Orders (gross)</t>
  </si>
  <si>
    <t xml:space="preserve">  Estimated orders</t>
  </si>
  <si>
    <t xml:space="preserve">  Returns &amp; cancellations</t>
  </si>
  <si>
    <t xml:space="preserve">  Net orders fulfilled</t>
  </si>
  <si>
    <t>Average Order Value (₹)</t>
  </si>
  <si>
    <t xml:space="preserve">  AOV (₹)</t>
  </si>
  <si>
    <t>GMV</t>
  </si>
  <si>
    <t xml:space="preserve">  Gross GMV (₹)</t>
  </si>
  <si>
    <t xml:space="preserve">  Net GMV after returns (₹)</t>
  </si>
  <si>
    <t>COST MODEL — VARIABLE &amp; FIXED COSTS (Month by Month)</t>
  </si>
  <si>
    <t>Cost Line</t>
  </si>
  <si>
    <t>VARIABLE COSTS</t>
  </si>
  <si>
    <t xml:space="preserve">  Payment gateway fee (2% of GMV)</t>
  </si>
  <si>
    <t xml:space="preserve">  Packaging materials (₹50/order)</t>
  </si>
  <si>
    <t xml:space="preserve">  Shipping subsidy (₹30/order)</t>
  </si>
  <si>
    <t xml:space="preserve">  Customer support cost (₹20/order)</t>
  </si>
  <si>
    <t xml:space="preserve">  TOTAL VARIABLE COSTS</t>
  </si>
  <si>
    <t>FIXED COSTS</t>
  </si>
  <si>
    <t xml:space="preserve">  Website &amp; hosting</t>
  </si>
  <si>
    <t xml:space="preserve">  Marketing &amp; social media</t>
  </si>
  <si>
    <t xml:space="preserve">  Field travel — artisan visits</t>
  </si>
  <si>
    <t xml:space="preserve">  Miscellaneous &amp; contingency</t>
  </si>
  <si>
    <t xml:space="preserve">  TOTAL FIXED COSTS</t>
  </si>
  <si>
    <t>TOTAL COSTS</t>
  </si>
  <si>
    <t>PROFIT &amp; LOSS STATEMENT — MONTH BY MONTH (₹)</t>
  </si>
  <si>
    <t>REVENUE</t>
  </si>
  <si>
    <t xml:space="preserve">  Gross GMV</t>
  </si>
  <si>
    <t xml:space="preserve">  Less: Returns</t>
  </si>
  <si>
    <t xml:space="preserve">  Net GMV</t>
  </si>
  <si>
    <t xml:space="preserve">  Platform commission (10%)</t>
  </si>
  <si>
    <t xml:space="preserve">  Payment gateway fee</t>
  </si>
  <si>
    <t xml:space="preserve">  Packaging</t>
  </si>
  <si>
    <t xml:space="preserve">  Shipping subsidy</t>
  </si>
  <si>
    <t xml:space="preserve">  Customer support</t>
  </si>
  <si>
    <t xml:space="preserve">  Total variable costs</t>
  </si>
  <si>
    <t>CONTRIBUTION MARGIN</t>
  </si>
  <si>
    <t xml:space="preserve">  Contribution margin %</t>
  </si>
  <si>
    <t xml:space="preserve">  Marketing</t>
  </si>
  <si>
    <t xml:space="preserve">  Field travel</t>
  </si>
  <si>
    <t xml:space="preserve">  Miscellaneous</t>
  </si>
  <si>
    <t xml:space="preserve">  Total fixed costs</t>
  </si>
  <si>
    <t>NET PROFIT / (LOSS)</t>
  </si>
  <si>
    <t xml:space="preserve">  Cumulative P&amp;L</t>
  </si>
  <si>
    <t>Break-even orders needed</t>
  </si>
  <si>
    <t>UNIT ECONOMICS — PER ORDER ANALYSIS (Month by Month)</t>
  </si>
  <si>
    <t>Metric</t>
  </si>
  <si>
    <t>Avg / Year</t>
  </si>
  <si>
    <t>Orders (net fulfilled)</t>
  </si>
  <si>
    <t>Revenue per order (₹)</t>
  </si>
  <si>
    <t>Variable cost per order (₹)</t>
  </si>
  <si>
    <t xml:space="preserve">  of which: gateway fee</t>
  </si>
  <si>
    <t xml:space="preserve">  of which: packaging</t>
  </si>
  <si>
    <t xml:space="preserve">  of which: shipping</t>
  </si>
  <si>
    <t xml:space="preserve">  of which: support</t>
  </si>
  <si>
    <t>Contribution per order (₹)</t>
  </si>
  <si>
    <t>Contribution margin %</t>
  </si>
  <si>
    <t>Break-even orders needed/month</t>
  </si>
  <si>
    <t>Artisan payout per order (₹)</t>
  </si>
  <si>
    <t>SCENARIO COMPARISON — CONSERVATIVE vs BASE CASE vs OPTIMISTIC</t>
  </si>
  <si>
    <t>Adjust inputs below, then compare outcomes. The BASE CASE uses Sheet 1 (1_Assumptions). Conservative and Optimistic use overrides below.</t>
  </si>
  <si>
    <t>Assumption / KPI</t>
  </si>
  <si>
    <t>Conservative</t>
  </si>
  <si>
    <t>Base Case</t>
  </si>
  <si>
    <t>Optimistic</t>
  </si>
  <si>
    <t>INPUT ASSUMPTIONS</t>
  </si>
  <si>
    <t>Commission rate</t>
  </si>
  <si>
    <t>Realistic floor. Low commission + low growth.</t>
  </si>
  <si>
    <t>Starting orders (M1)</t>
  </si>
  <si>
    <t>MoM order growth</t>
  </si>
  <si>
    <t>Base case — uses 1_Assumptions sheet for live calcs.</t>
  </si>
  <si>
    <t>Starting AOV (₹)</t>
  </si>
  <si>
    <t>Requires consistent social media + 1 viral moment.</t>
  </si>
  <si>
    <t>YEAR 1 OUTPUTS</t>
  </si>
  <si>
    <t>Total orders fulfilled</t>
  </si>
  <si>
    <t>Gross Merch Value — GMV (₹)</t>
  </si>
  <si>
    <t>Platform Revenue (₹)</t>
  </si>
  <si>
    <t>Total Costs (₹)</t>
  </si>
  <si>
    <t>Net P&amp;L Year 1 (₹)</t>
  </si>
  <si>
    <t>Break-even month</t>
  </si>
  <si>
    <t>Not in Y1</t>
  </si>
  <si>
    <t>Same regardless of scenario — fixed first trip</t>
  </si>
  <si>
    <t>Artisans onboarded</t>
  </si>
  <si>
    <t>STRATEGIC COMMENTARY</t>
  </si>
  <si>
    <t>Recommended action</t>
  </si>
  <si>
    <t>Extend runway;
focus on quality\onboarding</t>
  </si>
  <si>
    <t>Execute as planned;
review at M6</t>
  </si>
  <si>
    <t>Consider adding 2nd
batch artisans at M6</t>
  </si>
  <si>
    <t>PART A — Monthly Cumulative Artisan Growth (Months 1–12)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</si>
</sst>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;\(0.0%\);\-"/>
    <numFmt numFmtId="165" formatCode="\₹#,##0;&quot;(₹&quot;#,##0\);\-"/>
    <numFmt numFmtId="166" formatCode="#,##0;\(#,##0\);\-"/>
    <numFmt numFmtId="167" formatCode="\₹#,##0.0;&quot;(₹&quot;#,##0.0\);\-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1F4E79"/>
      <name val="Arial"/>
      <charset val="1"/>
    </font>
    <font>
      <sz val="9"/>
      <color rgb="FF000000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i/>
      <sz val="8"/>
      <color rgb="FF404040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006400"/>
      <name val="Arial"/>
      <charset val="1"/>
    </font>
    <font>
      <sz val="8"/>
      <color rgb="FF595959"/>
      <name val="Arial"/>
      <charset val="1"/>
    </font>
    <font>
      <b/>
      <sz val="9"/>
      <color rgb="FFC0000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7"/>
        <bgColor rgb="FFDEEAF1"/>
      </patternFill>
    </fill>
    <fill>
      <patternFill patternType="solid">
        <fgColor rgb="FFFFFF99"/>
        <bgColor rgb="FFFFF0CC"/>
      </patternFill>
    </fill>
    <fill>
      <patternFill patternType="solid">
        <fgColor rgb="FFF0F0F0"/>
        <bgColor rgb="FFF2F7FC"/>
      </patternFill>
    </fill>
    <fill>
      <patternFill patternType="solid">
        <fgColor rgb="FF2E74B5"/>
        <bgColor rgb="FF4472C4"/>
      </patternFill>
    </fill>
    <fill>
      <patternFill patternType="solid">
        <fgColor rgb="FFF2F7FC"/>
        <bgColor rgb="FFF0F0F0"/>
      </patternFill>
    </fill>
    <fill>
      <patternFill patternType="solid">
        <fgColor rgb="FFFFFFFF"/>
        <bgColor rgb="FFF2F7FC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D6E4F7"/>
      </patternFill>
    </fill>
    <fill>
      <patternFill patternType="solid">
        <fgColor rgb="FFFCE4D6"/>
        <bgColor rgb="FFFFF0CC"/>
      </patternFill>
    </fill>
    <fill>
      <patternFill patternType="solid">
        <fgColor rgb="FFFFF0CC"/>
        <bgColor rgb="FFFCE4D6"/>
      </patternFill>
    </fill>
    <fill>
      <patternFill patternType="solid">
        <fgColor rgb="FF4472C4"/>
        <bgColor rgb="FF2E74B5"/>
      </patternFill>
    </fill>
    <fill>
      <patternFill patternType="solid">
        <fgColor rgb="FF843C0C"/>
        <bgColor rgb="FF993366"/>
      </patternFill>
    </fill>
  </fills>
  <borders count="3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4" fillId="0" borderId="2" xfId="0" applyFont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5" fontId="5" fillId="4" borderId="2" xfId="0" applyNumberFormat="1" applyFont="1" applyFill="1" applyBorder="1" applyAlignment="1">
      <alignment horizontal="right" vertical="center"/>
    </xf>
    <xf numFmtId="166" fontId="5" fillId="4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center" vertical="center"/>
    </xf>
    <xf numFmtId="166" fontId="12" fillId="7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166" fontId="12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/>
    <xf numFmtId="166" fontId="12" fillId="4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/>
    <xf numFmtId="0" fontId="9" fillId="6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/>
    <xf numFmtId="0" fontId="0" fillId="3" borderId="2" xfId="0" applyFill="1" applyBorder="1" applyAlignment="1"/>
    <xf numFmtId="0" fontId="4" fillId="8" borderId="2" xfId="0" applyFont="1" applyFill="1" applyBorder="1" applyAlignment="1"/>
    <xf numFmtId="166" fontId="12" fillId="0" borderId="2" xfId="0" applyNumberFormat="1" applyFont="1" applyBorder="1" applyAlignment="1">
      <alignment horizontal="right" vertical="center"/>
    </xf>
    <xf numFmtId="166" fontId="10" fillId="10" borderId="2" xfId="0" applyNumberFormat="1" applyFont="1" applyFill="1" applyBorder="1" applyAlignment="1">
      <alignment horizontal="right" vertical="center"/>
    </xf>
    <xf numFmtId="166" fontId="10" fillId="7" borderId="2" xfId="0" applyNumberFormat="1" applyFont="1" applyFill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165" fontId="10" fillId="10" borderId="2" xfId="0" applyNumberFormat="1" applyFont="1" applyFill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165" fontId="10" fillId="7" borderId="2" xfId="0" applyNumberFormat="1" applyFont="1" applyFill="1" applyBorder="1" applyAlignment="1">
      <alignment horizontal="right" vertical="center"/>
    </xf>
    <xf numFmtId="0" fontId="10" fillId="9" borderId="2" xfId="0" applyFont="1" applyFill="1" applyBorder="1" applyAlignment="1"/>
    <xf numFmtId="165" fontId="10" fillId="9" borderId="2" xfId="0" applyNumberFormat="1" applyFont="1" applyFill="1" applyBorder="1" applyAlignment="1">
      <alignment horizontal="right" vertical="center"/>
    </xf>
    <xf numFmtId="165" fontId="10" fillId="11" borderId="2" xfId="0" applyNumberFormat="1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165" fontId="9" fillId="2" borderId="2" xfId="0" applyNumberFormat="1" applyFont="1" applyFill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10" fillId="10" borderId="2" xfId="0" applyNumberFormat="1" applyFont="1" applyFill="1" applyBorder="1" applyAlignment="1">
      <alignment horizontal="right" vertical="center"/>
    </xf>
    <xf numFmtId="0" fontId="6" fillId="12" borderId="2" xfId="0" applyFont="1" applyFill="1" applyBorder="1" applyAlignment="1">
      <alignment horizontal="left" vertical="center"/>
    </xf>
    <xf numFmtId="166" fontId="6" fillId="12" borderId="2" xfId="0" applyNumberFormat="1" applyFont="1" applyFill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7" fontId="4" fillId="0" borderId="2" xfId="0" applyNumberFormat="1" applyFont="1" applyBorder="1" applyAlignment="1">
      <alignment horizontal="right" vertical="center"/>
    </xf>
    <xf numFmtId="167" fontId="10" fillId="10" borderId="2" xfId="0" applyNumberFormat="1" applyFont="1" applyFill="1" applyBorder="1" applyAlignment="1">
      <alignment horizontal="right" vertical="center"/>
    </xf>
    <xf numFmtId="167" fontId="10" fillId="0" borderId="2" xfId="0" applyNumberFormat="1" applyFont="1" applyBorder="1" applyAlignment="1">
      <alignment horizontal="right" vertical="center"/>
    </xf>
    <xf numFmtId="167" fontId="10" fillId="9" borderId="2" xfId="0" applyNumberFormat="1" applyFont="1" applyFill="1" applyBorder="1" applyAlignment="1">
      <alignment horizontal="right" vertical="center"/>
    </xf>
    <xf numFmtId="164" fontId="10" fillId="9" borderId="2" xfId="0" applyNumberFormat="1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left" vertical="center"/>
    </xf>
    <xf numFmtId="167" fontId="4" fillId="9" borderId="2" xfId="0" applyNumberFormat="1" applyFont="1" applyFill="1" applyBorder="1" applyAlignment="1">
      <alignment horizontal="right" vertical="center"/>
    </xf>
    <xf numFmtId="0" fontId="9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right" vertical="center"/>
    </xf>
    <xf numFmtId="0" fontId="13" fillId="0" borderId="2" xfId="0" applyFont="1" applyBorder="1" applyAlignment="1">
      <alignment horizontal="left" vertical="center"/>
    </xf>
    <xf numFmtId="166" fontId="11" fillId="4" borderId="2" xfId="0" applyNumberFormat="1" applyFont="1" applyFill="1" applyBorder="1" applyAlignment="1">
      <alignment horizontal="right" vertical="center"/>
    </xf>
    <xf numFmtId="164" fontId="12" fillId="4" borderId="2" xfId="0" applyNumberFormat="1" applyFont="1" applyFill="1" applyBorder="1" applyAlignment="1">
      <alignment horizontal="right" vertical="center"/>
    </xf>
    <xf numFmtId="165" fontId="11" fillId="4" borderId="2" xfId="0" applyNumberFormat="1" applyFont="1" applyFill="1" applyBorder="1" applyAlignment="1">
      <alignment horizontal="right" vertical="center"/>
    </xf>
    <xf numFmtId="165" fontId="14" fillId="0" borderId="2" xfId="0" applyNumberFormat="1" applyFont="1" applyBorder="1" applyAlignment="1">
      <alignment horizontal="right" vertical="center"/>
    </xf>
    <xf numFmtId="49" fontId="14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0CC"/>
      <rgbColor rgb="FFDEEAF1"/>
      <rgbColor rgb="FF660066"/>
      <rgbColor rgb="FFFF8080"/>
      <rgbColor rgb="FF2E74B5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2EFDA"/>
      <rgbColor rgb="FFFFFF99"/>
      <rgbColor rgb="FFF0F0F0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showGridLines="0" topLeftCell="A5" zoomScaleNormal="100" workbookViewId="0">
      <selection activeCell="B23" sqref="B23"/>
    </sheetView>
  </sheetViews>
  <sheetFormatPr defaultColWidth="8.7109375" defaultRowHeight="15" x14ac:dyDescent="0.25"/>
  <cols>
    <col min="1" max="1" width="35" style="7" customWidth="1"/>
    <col min="2" max="2" width="18" style="7" customWidth="1"/>
    <col min="3" max="3" width="12" style="7" customWidth="1"/>
    <col min="4" max="4" width="42" style="7" customWidth="1"/>
  </cols>
  <sheetData>
    <row r="1" spans="1:4" ht="27.75" customHeight="1" x14ac:dyDescent="0.25">
      <c r="A1" s="6" t="s">
        <v>0</v>
      </c>
      <c r="B1" s="6"/>
      <c r="C1" s="6"/>
      <c r="D1" s="6"/>
    </row>
    <row r="2" spans="1:4" ht="15" customHeight="1" x14ac:dyDescent="0.25">
      <c r="A2" s="5" t="s">
        <v>1</v>
      </c>
      <c r="B2" s="5"/>
      <c r="C2" s="5"/>
      <c r="D2" s="5"/>
    </row>
    <row r="3" spans="1:4" ht="15" customHeight="1" x14ac:dyDescent="0.25">
      <c r="A3" s="4" t="s">
        <v>2</v>
      </c>
      <c r="B3" s="4"/>
      <c r="C3" s="4"/>
      <c r="D3" s="4"/>
    </row>
    <row r="4" spans="1:4" ht="15" customHeight="1" x14ac:dyDescent="0.25">
      <c r="A4" s="8" t="s">
        <v>3</v>
      </c>
      <c r="B4" s="9">
        <v>0.1</v>
      </c>
      <c r="C4" s="10" t="s">
        <v>4</v>
      </c>
      <c r="D4" s="11" t="s">
        <v>5</v>
      </c>
    </row>
    <row r="5" spans="1:4" ht="15" customHeight="1" x14ac:dyDescent="0.25">
      <c r="A5" s="8" t="s">
        <v>6</v>
      </c>
      <c r="B5" s="9">
        <v>0.02</v>
      </c>
      <c r="C5" s="10" t="s">
        <v>4</v>
      </c>
      <c r="D5" s="11" t="s">
        <v>7</v>
      </c>
    </row>
    <row r="6" spans="1:4" ht="15" customHeight="1" x14ac:dyDescent="0.25">
      <c r="A6" s="8" t="s">
        <v>8</v>
      </c>
      <c r="B6" s="9">
        <v>0.05</v>
      </c>
      <c r="C6" s="10" t="s">
        <v>4</v>
      </c>
      <c r="D6" s="11" t="s">
        <v>9</v>
      </c>
    </row>
    <row r="7" spans="1:4" ht="15" customHeight="1" x14ac:dyDescent="0.25">
      <c r="A7" s="8" t="s">
        <v>10</v>
      </c>
      <c r="B7" s="12">
        <v>650</v>
      </c>
      <c r="C7" s="10" t="s">
        <v>11</v>
      </c>
      <c r="D7" s="11" t="s">
        <v>12</v>
      </c>
    </row>
    <row r="8" spans="1:4" ht="15" customHeight="1" x14ac:dyDescent="0.25">
      <c r="A8" s="8" t="s">
        <v>13</v>
      </c>
      <c r="B8" s="12">
        <v>20</v>
      </c>
      <c r="C8" s="10" t="s">
        <v>11</v>
      </c>
      <c r="D8" s="11" t="s">
        <v>14</v>
      </c>
    </row>
    <row r="9" spans="1:4" ht="15" customHeight="1" x14ac:dyDescent="0.25">
      <c r="A9" s="4" t="s">
        <v>15</v>
      </c>
      <c r="B9" s="4"/>
      <c r="C9" s="4"/>
      <c r="D9" s="4"/>
    </row>
    <row r="10" spans="1:4" ht="15" customHeight="1" x14ac:dyDescent="0.25">
      <c r="A10" s="8" t="s">
        <v>16</v>
      </c>
      <c r="B10" s="13">
        <v>8</v>
      </c>
      <c r="C10" s="10" t="s">
        <v>17</v>
      </c>
      <c r="D10" s="11" t="s">
        <v>18</v>
      </c>
    </row>
    <row r="11" spans="1:4" ht="15" customHeight="1" x14ac:dyDescent="0.25">
      <c r="A11" s="8" t="s">
        <v>19</v>
      </c>
      <c r="B11" s="9">
        <v>0.15</v>
      </c>
      <c r="C11" s="10" t="s">
        <v>4</v>
      </c>
      <c r="D11" s="11" t="s">
        <v>20</v>
      </c>
    </row>
    <row r="12" spans="1:4" ht="15" customHeight="1" x14ac:dyDescent="0.25">
      <c r="A12" s="8" t="s">
        <v>21</v>
      </c>
      <c r="B12" s="9">
        <v>0.1</v>
      </c>
      <c r="C12" s="10" t="s">
        <v>4</v>
      </c>
      <c r="D12" s="11" t="s">
        <v>22</v>
      </c>
    </row>
    <row r="13" spans="1:4" ht="15" customHeight="1" x14ac:dyDescent="0.25">
      <c r="A13" s="4" t="s">
        <v>23</v>
      </c>
      <c r="B13" s="4"/>
      <c r="C13" s="4"/>
      <c r="D13" s="4"/>
    </row>
    <row r="14" spans="1:4" ht="15" customHeight="1" x14ac:dyDescent="0.25">
      <c r="A14" s="8" t="s">
        <v>24</v>
      </c>
      <c r="B14" s="13">
        <v>30</v>
      </c>
      <c r="C14" s="10" t="s">
        <v>17</v>
      </c>
      <c r="D14" s="11" t="s">
        <v>25</v>
      </c>
    </row>
    <row r="15" spans="1:4" ht="15" customHeight="1" x14ac:dyDescent="0.25">
      <c r="A15" s="8" t="s">
        <v>26</v>
      </c>
      <c r="B15" s="13">
        <v>3</v>
      </c>
      <c r="C15" s="10" t="s">
        <v>17</v>
      </c>
      <c r="D15" s="11" t="s">
        <v>27</v>
      </c>
    </row>
    <row r="16" spans="1:4" ht="15" customHeight="1" x14ac:dyDescent="0.25">
      <c r="A16" s="8" t="s">
        <v>28</v>
      </c>
      <c r="B16" s="13">
        <v>10</v>
      </c>
      <c r="C16" s="10" t="s">
        <v>17</v>
      </c>
      <c r="D16" s="11" t="s">
        <v>29</v>
      </c>
    </row>
    <row r="17" spans="1:4" ht="15" customHeight="1" x14ac:dyDescent="0.25">
      <c r="A17" s="8" t="s">
        <v>30</v>
      </c>
      <c r="B17" s="9">
        <v>0.6</v>
      </c>
      <c r="C17" s="10" t="s">
        <v>4</v>
      </c>
      <c r="D17" s="11" t="s">
        <v>31</v>
      </c>
    </row>
    <row r="18" spans="1:4" ht="15" customHeight="1" x14ac:dyDescent="0.25">
      <c r="A18" s="8" t="s">
        <v>32</v>
      </c>
      <c r="B18" s="13">
        <v>5</v>
      </c>
      <c r="C18" s="10" t="s">
        <v>17</v>
      </c>
      <c r="D18" s="11" t="s">
        <v>33</v>
      </c>
    </row>
    <row r="19" spans="1:4" ht="15" customHeight="1" x14ac:dyDescent="0.25">
      <c r="A19" s="8" t="s">
        <v>34</v>
      </c>
      <c r="B19" s="13">
        <v>2</v>
      </c>
      <c r="C19" s="10" t="s">
        <v>17</v>
      </c>
      <c r="D19" s="11" t="s">
        <v>35</v>
      </c>
    </row>
    <row r="20" spans="1:4" ht="15" customHeight="1" x14ac:dyDescent="0.25">
      <c r="A20" s="4" t="s">
        <v>36</v>
      </c>
      <c r="B20" s="4"/>
      <c r="C20" s="4"/>
      <c r="D20" s="4"/>
    </row>
    <row r="21" spans="1:4" ht="15" customHeight="1" x14ac:dyDescent="0.25">
      <c r="A21" s="8" t="s">
        <v>37</v>
      </c>
      <c r="B21" s="12">
        <v>50</v>
      </c>
      <c r="C21" s="10" t="s">
        <v>11</v>
      </c>
      <c r="D21" s="11" t="s">
        <v>38</v>
      </c>
    </row>
    <row r="22" spans="1:4" ht="15" customHeight="1" x14ac:dyDescent="0.25">
      <c r="A22" s="8" t="s">
        <v>39</v>
      </c>
      <c r="B22" s="12">
        <v>30</v>
      </c>
      <c r="C22" s="10" t="s">
        <v>11</v>
      </c>
      <c r="D22" s="11" t="s">
        <v>40</v>
      </c>
    </row>
    <row r="23" spans="1:4" ht="15" customHeight="1" x14ac:dyDescent="0.25">
      <c r="A23" s="8" t="s">
        <v>41</v>
      </c>
      <c r="B23" s="12">
        <v>20</v>
      </c>
      <c r="C23" s="10" t="s">
        <v>11</v>
      </c>
      <c r="D23" s="11" t="s">
        <v>42</v>
      </c>
    </row>
    <row r="24" spans="1:4" ht="15" customHeight="1" x14ac:dyDescent="0.25">
      <c r="A24" s="4" t="s">
        <v>43</v>
      </c>
      <c r="B24" s="4"/>
      <c r="C24" s="4"/>
      <c r="D24" s="4"/>
    </row>
    <row r="25" spans="1:4" ht="15" customHeight="1" x14ac:dyDescent="0.25">
      <c r="A25" s="8" t="s">
        <v>44</v>
      </c>
      <c r="B25" s="12">
        <v>2500</v>
      </c>
      <c r="C25" s="10" t="s">
        <v>11</v>
      </c>
      <c r="D25" s="11" t="s">
        <v>45</v>
      </c>
    </row>
    <row r="26" spans="1:4" ht="15" customHeight="1" x14ac:dyDescent="0.25">
      <c r="A26" s="8" t="s">
        <v>46</v>
      </c>
      <c r="B26" s="12">
        <v>4000</v>
      </c>
      <c r="C26" s="10" t="s">
        <v>11</v>
      </c>
      <c r="D26" s="11" t="s">
        <v>47</v>
      </c>
    </row>
    <row r="27" spans="1:4" ht="15" customHeight="1" x14ac:dyDescent="0.25">
      <c r="A27" s="8" t="s">
        <v>48</v>
      </c>
      <c r="B27" s="12">
        <v>3000</v>
      </c>
      <c r="C27" s="10" t="s">
        <v>11</v>
      </c>
      <c r="D27" s="11" t="s">
        <v>49</v>
      </c>
    </row>
    <row r="28" spans="1:4" ht="15" customHeight="1" x14ac:dyDescent="0.25">
      <c r="A28" s="8" t="s">
        <v>50</v>
      </c>
      <c r="B28" s="12">
        <v>1500</v>
      </c>
      <c r="C28" s="10" t="s">
        <v>11</v>
      </c>
      <c r="D28" s="11" t="s">
        <v>51</v>
      </c>
    </row>
    <row r="29" spans="1:4" ht="15" customHeight="1" x14ac:dyDescent="0.25"/>
    <row r="30" spans="1:4" ht="15" customHeight="1" x14ac:dyDescent="0.25">
      <c r="A30" s="3" t="s">
        <v>52</v>
      </c>
      <c r="B30" s="3"/>
      <c r="C30" s="3"/>
      <c r="D30" s="3"/>
    </row>
  </sheetData>
  <mergeCells count="8">
    <mergeCell ref="A20:D20"/>
    <mergeCell ref="A24:D24"/>
    <mergeCell ref="A30:D30"/>
    <mergeCell ref="A1:D1"/>
    <mergeCell ref="A2:D2"/>
    <mergeCell ref="A3:D3"/>
    <mergeCell ref="A9:D9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showGridLines="0" zoomScaleNormal="100" workbookViewId="0">
      <selection activeCell="C19" sqref="C19"/>
    </sheetView>
  </sheetViews>
  <sheetFormatPr defaultColWidth="8.7109375" defaultRowHeight="15" x14ac:dyDescent="0.25"/>
  <cols>
    <col min="1" max="1" width="18" style="7" customWidth="1"/>
    <col min="2" max="2" width="22" style="7" customWidth="1"/>
    <col min="3" max="3" width="20" style="7" customWidth="1"/>
    <col min="4" max="4" width="16" style="7" customWidth="1"/>
    <col min="5" max="5" width="26" style="7" customWidth="1"/>
    <col min="6" max="6" width="16" style="7" customWidth="1"/>
    <col min="7" max="7" width="30" style="7" customWidth="1"/>
  </cols>
  <sheetData>
    <row r="1" spans="1:7" ht="25.5" customHeight="1" x14ac:dyDescent="0.25">
      <c r="A1" s="4" t="s">
        <v>161</v>
      </c>
      <c r="B1" s="4"/>
      <c r="C1" s="4"/>
      <c r="D1" s="4"/>
      <c r="E1" s="4"/>
      <c r="F1" s="4"/>
      <c r="G1" s="4"/>
    </row>
    <row r="2" spans="1:7" ht="15" customHeight="1" x14ac:dyDescent="0.25">
      <c r="A2" s="14" t="s">
        <v>54</v>
      </c>
      <c r="B2" s="14" t="s">
        <v>55</v>
      </c>
      <c r="C2" s="14" t="s">
        <v>56</v>
      </c>
      <c r="D2" s="14" t="s">
        <v>57</v>
      </c>
      <c r="E2" s="14" t="s">
        <v>58</v>
      </c>
    </row>
    <row r="3" spans="1:7" ht="15" customHeight="1" x14ac:dyDescent="0.25">
      <c r="A3" s="18" t="s">
        <v>59</v>
      </c>
      <c r="B3" s="19">
        <f>'1_Assumptions'!$B$14</f>
        <v>30</v>
      </c>
      <c r="C3" s="17">
        <f>B3</f>
        <v>30</v>
      </c>
      <c r="D3" s="17">
        <f>ROUND(C3*'1_Assumptions'!$B$17,0)</f>
        <v>18</v>
      </c>
      <c r="E3" s="17">
        <f>D3*'1_Assumptions'!$B$18</f>
        <v>90</v>
      </c>
    </row>
    <row r="4" spans="1:7" ht="15" customHeight="1" x14ac:dyDescent="0.25">
      <c r="A4" s="20" t="s">
        <v>60</v>
      </c>
      <c r="B4" s="15">
        <f>'1_Assumptions'!$B$19</f>
        <v>2</v>
      </c>
      <c r="C4" s="15">
        <f t="shared" ref="C4:C14" si="0">C3+B4</f>
        <v>32</v>
      </c>
      <c r="D4" s="15">
        <f>ROUND(C4*'1_Assumptions'!$B$17,0)</f>
        <v>19</v>
      </c>
      <c r="E4" s="15">
        <f>D4*'1_Assumptions'!$B$18</f>
        <v>95</v>
      </c>
    </row>
    <row r="5" spans="1:7" ht="15" customHeight="1" x14ac:dyDescent="0.25">
      <c r="A5" s="18" t="s">
        <v>61</v>
      </c>
      <c r="B5" s="17">
        <f>'1_Assumptions'!$B$19</f>
        <v>2</v>
      </c>
      <c r="C5" s="17">
        <f t="shared" si="0"/>
        <v>34</v>
      </c>
      <c r="D5" s="17">
        <f>ROUND(C5*'1_Assumptions'!$B$17,0)</f>
        <v>20</v>
      </c>
      <c r="E5" s="17">
        <f>D5*'1_Assumptions'!$B$18</f>
        <v>100</v>
      </c>
    </row>
    <row r="6" spans="1:7" ht="15" customHeight="1" x14ac:dyDescent="0.25">
      <c r="A6" s="20" t="s">
        <v>62</v>
      </c>
      <c r="B6" s="15">
        <f>'1_Assumptions'!$B$19</f>
        <v>2</v>
      </c>
      <c r="C6" s="15">
        <f t="shared" si="0"/>
        <v>36</v>
      </c>
      <c r="D6" s="15">
        <f>ROUND(C6*'1_Assumptions'!$B$17,0)</f>
        <v>22</v>
      </c>
      <c r="E6" s="15">
        <f>D6*'1_Assumptions'!$B$18</f>
        <v>110</v>
      </c>
    </row>
    <row r="7" spans="1:7" ht="15" customHeight="1" x14ac:dyDescent="0.25">
      <c r="A7" s="18" t="s">
        <v>63</v>
      </c>
      <c r="B7" s="17">
        <f>'1_Assumptions'!$B$19</f>
        <v>2</v>
      </c>
      <c r="C7" s="17">
        <f t="shared" si="0"/>
        <v>38</v>
      </c>
      <c r="D7" s="17">
        <f>ROUND(C7*'1_Assumptions'!$B$17,0)</f>
        <v>23</v>
      </c>
      <c r="E7" s="17">
        <f>D7*'1_Assumptions'!$B$18</f>
        <v>115</v>
      </c>
    </row>
    <row r="8" spans="1:7" ht="15" customHeight="1" x14ac:dyDescent="0.25">
      <c r="A8" s="20" t="s">
        <v>64</v>
      </c>
      <c r="B8" s="15">
        <f>'1_Assumptions'!$B$19</f>
        <v>2</v>
      </c>
      <c r="C8" s="15">
        <f t="shared" si="0"/>
        <v>40</v>
      </c>
      <c r="D8" s="15">
        <f>ROUND(C8*'1_Assumptions'!$B$17,0)</f>
        <v>24</v>
      </c>
      <c r="E8" s="15">
        <f>D8*'1_Assumptions'!$B$18</f>
        <v>120</v>
      </c>
    </row>
    <row r="9" spans="1:7" ht="15" customHeight="1" x14ac:dyDescent="0.25">
      <c r="A9" s="18" t="s">
        <v>65</v>
      </c>
      <c r="B9" s="17">
        <f>'1_Assumptions'!$B$19</f>
        <v>2</v>
      </c>
      <c r="C9" s="17">
        <f t="shared" si="0"/>
        <v>42</v>
      </c>
      <c r="D9" s="17">
        <f>ROUND(C9*'1_Assumptions'!$B$17,0)</f>
        <v>25</v>
      </c>
      <c r="E9" s="17">
        <f>D9*'1_Assumptions'!$B$18</f>
        <v>125</v>
      </c>
    </row>
    <row r="10" spans="1:7" ht="15" customHeight="1" x14ac:dyDescent="0.25">
      <c r="A10" s="20" t="s">
        <v>66</v>
      </c>
      <c r="B10" s="15">
        <f>'1_Assumptions'!$B$19</f>
        <v>2</v>
      </c>
      <c r="C10" s="15">
        <f t="shared" si="0"/>
        <v>44</v>
      </c>
      <c r="D10" s="15">
        <f>ROUND(C10*'1_Assumptions'!$B$17,0)</f>
        <v>26</v>
      </c>
      <c r="E10" s="15">
        <f>D10*'1_Assumptions'!$B$18</f>
        <v>130</v>
      </c>
    </row>
    <row r="11" spans="1:7" ht="15" customHeight="1" x14ac:dyDescent="0.25">
      <c r="A11" s="18" t="s">
        <v>67</v>
      </c>
      <c r="B11" s="17">
        <f>'1_Assumptions'!$B$19</f>
        <v>2</v>
      </c>
      <c r="C11" s="17">
        <f t="shared" si="0"/>
        <v>46</v>
      </c>
      <c r="D11" s="17">
        <f>ROUND(C11*'1_Assumptions'!$B$17,0)</f>
        <v>28</v>
      </c>
      <c r="E11" s="17">
        <f>D11*'1_Assumptions'!$B$18</f>
        <v>140</v>
      </c>
    </row>
    <row r="12" spans="1:7" ht="15" customHeight="1" x14ac:dyDescent="0.25">
      <c r="A12" s="20" t="s">
        <v>68</v>
      </c>
      <c r="B12" s="15">
        <f>'1_Assumptions'!$B$19</f>
        <v>2</v>
      </c>
      <c r="C12" s="15">
        <f t="shared" si="0"/>
        <v>48</v>
      </c>
      <c r="D12" s="15">
        <f>ROUND(C12*'1_Assumptions'!$B$17,0)</f>
        <v>29</v>
      </c>
      <c r="E12" s="15">
        <f>D12*'1_Assumptions'!$B$18</f>
        <v>145</v>
      </c>
    </row>
    <row r="13" spans="1:7" ht="15" customHeight="1" x14ac:dyDescent="0.25">
      <c r="A13" s="18" t="s">
        <v>69</v>
      </c>
      <c r="B13" s="17">
        <f>'1_Assumptions'!$B$19</f>
        <v>2</v>
      </c>
      <c r="C13" s="17">
        <f t="shared" si="0"/>
        <v>50</v>
      </c>
      <c r="D13" s="17">
        <f>ROUND(C13*'1_Assumptions'!$B$17,0)</f>
        <v>30</v>
      </c>
      <c r="E13" s="17">
        <f>D13*'1_Assumptions'!$B$18</f>
        <v>150</v>
      </c>
    </row>
    <row r="14" spans="1:7" ht="15" customHeight="1" x14ac:dyDescent="0.25">
      <c r="A14" s="20" t="s">
        <v>70</v>
      </c>
      <c r="B14" s="15">
        <f>'1_Assumptions'!$B$19</f>
        <v>2</v>
      </c>
      <c r="C14" s="15">
        <f t="shared" si="0"/>
        <v>52</v>
      </c>
      <c r="D14" s="15">
        <f>ROUND(C14*'1_Assumptions'!$B$17,0)</f>
        <v>31</v>
      </c>
      <c r="E14" s="15">
        <f>D14*'1_Assumptions'!$B$18</f>
        <v>155</v>
      </c>
    </row>
    <row r="16" spans="1:7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showGridLines="0" zoomScaleNormal="100" workbookViewId="0">
      <selection sqref="A1:H1"/>
    </sheetView>
  </sheetViews>
  <sheetFormatPr defaultColWidth="8.7109375" defaultRowHeight="15" x14ac:dyDescent="0.25"/>
  <cols>
    <col min="1" max="1" width="30" style="7" customWidth="1"/>
    <col min="2" max="13" width="12" style="7" customWidth="1"/>
    <col min="14" max="14" width="14" style="7" customWidth="1"/>
  </cols>
  <sheetData>
    <row r="1" spans="1:14" ht="25.5" customHeight="1" x14ac:dyDescent="0.25">
      <c r="A1" s="2" t="s">
        <v>71</v>
      </c>
      <c r="B1" s="2"/>
      <c r="C1" s="2"/>
      <c r="D1" s="2"/>
      <c r="E1" s="2"/>
      <c r="F1" s="2"/>
      <c r="G1" s="2"/>
      <c r="H1" s="2"/>
    </row>
    <row r="2" spans="1:14" ht="15" customHeight="1" x14ac:dyDescent="0.25">
      <c r="A2" s="21" t="s">
        <v>72</v>
      </c>
      <c r="B2" s="14" t="s">
        <v>59</v>
      </c>
      <c r="C2" s="14" t="s">
        <v>60</v>
      </c>
      <c r="D2" s="14" t="s">
        <v>61</v>
      </c>
      <c r="E2" s="14" t="s">
        <v>62</v>
      </c>
      <c r="F2" s="14" t="s">
        <v>63</v>
      </c>
      <c r="G2" s="14" t="s">
        <v>64</v>
      </c>
      <c r="H2" s="14" t="s">
        <v>65</v>
      </c>
      <c r="I2" s="14" t="s">
        <v>66</v>
      </c>
      <c r="J2" s="14" t="s">
        <v>67</v>
      </c>
      <c r="K2" s="14" t="s">
        <v>68</v>
      </c>
      <c r="L2" s="14" t="s">
        <v>69</v>
      </c>
      <c r="M2" s="14" t="s">
        <v>70</v>
      </c>
      <c r="N2" s="22" t="s">
        <v>73</v>
      </c>
    </row>
    <row r="3" spans="1:14" ht="15.75" customHeight="1" x14ac:dyDescent="0.25">
      <c r="A3" s="23" t="s">
        <v>74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15.75" customHeight="1" x14ac:dyDescent="0.25">
      <c r="A4" s="25" t="s">
        <v>75</v>
      </c>
      <c r="B4" s="26">
        <f>'1_Assumptions'!$B$10</f>
        <v>8</v>
      </c>
      <c r="C4" s="26">
        <f>ROUND(B4*(1+'1_Assumptions'!$B$11),0)</f>
        <v>9</v>
      </c>
      <c r="D4" s="26">
        <f>ROUND(C4*(1+'1_Assumptions'!$B$11),0)</f>
        <v>10</v>
      </c>
      <c r="E4" s="26">
        <f>ROUND(D4*(1+'1_Assumptions'!$B$11),0)</f>
        <v>12</v>
      </c>
      <c r="F4" s="26">
        <f>ROUND(E4*(1+'1_Assumptions'!$B$11),0)</f>
        <v>14</v>
      </c>
      <c r="G4" s="26">
        <f>ROUND(F4*(1+'1_Assumptions'!$B$11),0)</f>
        <v>16</v>
      </c>
      <c r="H4" s="26">
        <f>ROUND(G4*(1+'1_Assumptions'!$B$11),0)</f>
        <v>18</v>
      </c>
      <c r="I4" s="26">
        <f>ROUND(H4*(1+'1_Assumptions'!$B$11),0)</f>
        <v>21</v>
      </c>
      <c r="J4" s="26">
        <f>ROUND(I4*(1+'1_Assumptions'!$B$11),0)</f>
        <v>24</v>
      </c>
      <c r="K4" s="26">
        <f>ROUND(J4*(1+'1_Assumptions'!$B$11),0)</f>
        <v>28</v>
      </c>
      <c r="L4" s="26">
        <f>ROUND(K4*(1+'1_Assumptions'!$B$11),0)</f>
        <v>32</v>
      </c>
      <c r="M4" s="26">
        <f>ROUND(L4*(1+'1_Assumptions'!$B$11),0)</f>
        <v>37</v>
      </c>
      <c r="N4" s="27">
        <f>SUM(B4:M4)</f>
        <v>229</v>
      </c>
    </row>
    <row r="5" spans="1:14" ht="15.75" customHeight="1" x14ac:dyDescent="0.25">
      <c r="A5" s="25" t="s">
        <v>76</v>
      </c>
      <c r="B5" s="26">
        <f>-ROUND(B4*'1_Assumptions'!$B$6,0)</f>
        <v>0</v>
      </c>
      <c r="C5" s="26">
        <f>-ROUND(C4*'1_Assumptions'!$B$6,0)</f>
        <v>0</v>
      </c>
      <c r="D5" s="26">
        <f>-ROUND(D4*'1_Assumptions'!$B$6,0)</f>
        <v>-1</v>
      </c>
      <c r="E5" s="26">
        <f>-ROUND(E4*'1_Assumptions'!$B$6,0)</f>
        <v>-1</v>
      </c>
      <c r="F5" s="26">
        <f>-ROUND(F4*'1_Assumptions'!$B$6,0)</f>
        <v>-1</v>
      </c>
      <c r="G5" s="26">
        <f>-ROUND(G4*'1_Assumptions'!$B$6,0)</f>
        <v>-1</v>
      </c>
      <c r="H5" s="26">
        <f>-ROUND(H4*'1_Assumptions'!$B$6,0)</f>
        <v>-1</v>
      </c>
      <c r="I5" s="26">
        <f>-ROUND(I4*'1_Assumptions'!$B$6,0)</f>
        <v>-1</v>
      </c>
      <c r="J5" s="26">
        <f>-ROUND(J4*'1_Assumptions'!$B$6,0)</f>
        <v>-1</v>
      </c>
      <c r="K5" s="26">
        <f>-ROUND(K4*'1_Assumptions'!$B$6,0)</f>
        <v>-1</v>
      </c>
      <c r="L5" s="26">
        <f>-ROUND(L4*'1_Assumptions'!$B$6,0)</f>
        <v>-2</v>
      </c>
      <c r="M5" s="26">
        <f>-ROUND(M4*'1_Assumptions'!$B$6,0)</f>
        <v>-2</v>
      </c>
      <c r="N5" s="27">
        <f>SUM(B5:M5)</f>
        <v>-12</v>
      </c>
    </row>
    <row r="6" spans="1:14" ht="15.75" customHeight="1" x14ac:dyDescent="0.25">
      <c r="A6" s="25" t="s">
        <v>77</v>
      </c>
      <c r="B6" s="28">
        <f t="shared" ref="B6:M6" si="0">B4+B5</f>
        <v>8</v>
      </c>
      <c r="C6" s="28">
        <f t="shared" si="0"/>
        <v>9</v>
      </c>
      <c r="D6" s="28">
        <f t="shared" si="0"/>
        <v>9</v>
      </c>
      <c r="E6" s="28">
        <f t="shared" si="0"/>
        <v>11</v>
      </c>
      <c r="F6" s="28">
        <f t="shared" si="0"/>
        <v>13</v>
      </c>
      <c r="G6" s="28">
        <f t="shared" si="0"/>
        <v>15</v>
      </c>
      <c r="H6" s="28">
        <f t="shared" si="0"/>
        <v>17</v>
      </c>
      <c r="I6" s="28">
        <f t="shared" si="0"/>
        <v>20</v>
      </c>
      <c r="J6" s="28">
        <f t="shared" si="0"/>
        <v>23</v>
      </c>
      <c r="K6" s="28">
        <f t="shared" si="0"/>
        <v>27</v>
      </c>
      <c r="L6" s="28">
        <f t="shared" si="0"/>
        <v>30</v>
      </c>
      <c r="M6" s="28">
        <f t="shared" si="0"/>
        <v>35</v>
      </c>
      <c r="N6" s="27">
        <f>SUM(B6:M6)</f>
        <v>217</v>
      </c>
    </row>
    <row r="7" spans="1:14" ht="15.75" customHeight="1" x14ac:dyDescent="0.25">
      <c r="A7" s="23" t="s">
        <v>78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1:14" ht="15.75" customHeight="1" x14ac:dyDescent="0.25">
      <c r="A8" s="25" t="s">
        <v>79</v>
      </c>
      <c r="B8" s="29">
        <f>'1_Assumptions'!$B$7</f>
        <v>650</v>
      </c>
      <c r="C8" s="29">
        <f>B8+'1_Assumptions'!$B$8</f>
        <v>670</v>
      </c>
      <c r="D8" s="29">
        <f>C8+'1_Assumptions'!$B$8</f>
        <v>690</v>
      </c>
      <c r="E8" s="29">
        <f>D8+'1_Assumptions'!$B$8</f>
        <v>710</v>
      </c>
      <c r="F8" s="29">
        <f>E8+'1_Assumptions'!$B$8</f>
        <v>730</v>
      </c>
      <c r="G8" s="29">
        <f>F8+'1_Assumptions'!$B$8</f>
        <v>750</v>
      </c>
      <c r="H8" s="29">
        <f>G8+'1_Assumptions'!$B$8</f>
        <v>770</v>
      </c>
      <c r="I8" s="29">
        <f>H8+'1_Assumptions'!$B$8</f>
        <v>790</v>
      </c>
      <c r="J8" s="29">
        <f>I8+'1_Assumptions'!$B$8</f>
        <v>810</v>
      </c>
      <c r="K8" s="29">
        <f>J8+'1_Assumptions'!$B$8</f>
        <v>830</v>
      </c>
      <c r="L8" s="29">
        <f>K8+'1_Assumptions'!$B$8</f>
        <v>850</v>
      </c>
      <c r="M8" s="29">
        <f>L8+'1_Assumptions'!$B$8</f>
        <v>870</v>
      </c>
      <c r="N8" s="30">
        <f>AVERAGE(B8:M8)</f>
        <v>760</v>
      </c>
    </row>
    <row r="9" spans="1:14" ht="15.75" customHeight="1" x14ac:dyDescent="0.25">
      <c r="A9" s="23" t="s">
        <v>80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15.75" customHeight="1" x14ac:dyDescent="0.25">
      <c r="A10" s="25" t="s">
        <v>81</v>
      </c>
      <c r="B10" s="31">
        <f t="shared" ref="B10:M10" si="1">B4*B8</f>
        <v>5200</v>
      </c>
      <c r="C10" s="31">
        <f t="shared" si="1"/>
        <v>6030</v>
      </c>
      <c r="D10" s="31">
        <f t="shared" si="1"/>
        <v>6900</v>
      </c>
      <c r="E10" s="31">
        <f t="shared" si="1"/>
        <v>8520</v>
      </c>
      <c r="F10" s="31">
        <f t="shared" si="1"/>
        <v>10220</v>
      </c>
      <c r="G10" s="31">
        <f t="shared" si="1"/>
        <v>12000</v>
      </c>
      <c r="H10" s="31">
        <f t="shared" si="1"/>
        <v>13860</v>
      </c>
      <c r="I10" s="31">
        <f t="shared" si="1"/>
        <v>16590</v>
      </c>
      <c r="J10" s="31">
        <f t="shared" si="1"/>
        <v>19440</v>
      </c>
      <c r="K10" s="31">
        <f t="shared" si="1"/>
        <v>23240</v>
      </c>
      <c r="L10" s="31">
        <f t="shared" si="1"/>
        <v>27200</v>
      </c>
      <c r="M10" s="31">
        <f t="shared" si="1"/>
        <v>32190</v>
      </c>
      <c r="N10" s="30">
        <f>SUM(B10:M10)</f>
        <v>181390</v>
      </c>
    </row>
    <row r="11" spans="1:14" ht="15.75" customHeight="1" x14ac:dyDescent="0.25">
      <c r="A11" s="25" t="s">
        <v>82</v>
      </c>
      <c r="B11" s="32">
        <f t="shared" ref="B11:M11" si="2">B6*B8</f>
        <v>5200</v>
      </c>
      <c r="C11" s="32">
        <f t="shared" si="2"/>
        <v>6030</v>
      </c>
      <c r="D11" s="32">
        <f t="shared" si="2"/>
        <v>6210</v>
      </c>
      <c r="E11" s="32">
        <f t="shared" si="2"/>
        <v>7810</v>
      </c>
      <c r="F11" s="32">
        <f t="shared" si="2"/>
        <v>9490</v>
      </c>
      <c r="G11" s="32">
        <f t="shared" si="2"/>
        <v>11250</v>
      </c>
      <c r="H11" s="32">
        <f t="shared" si="2"/>
        <v>13090</v>
      </c>
      <c r="I11" s="32">
        <f t="shared" si="2"/>
        <v>15800</v>
      </c>
      <c r="J11" s="32">
        <f t="shared" si="2"/>
        <v>18630</v>
      </c>
      <c r="K11" s="32">
        <f t="shared" si="2"/>
        <v>22410</v>
      </c>
      <c r="L11" s="32">
        <f t="shared" si="2"/>
        <v>25500</v>
      </c>
      <c r="M11" s="32">
        <f t="shared" si="2"/>
        <v>30450</v>
      </c>
      <c r="N11" s="30">
        <f>SUM(B11:M11)</f>
        <v>171870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"/>
  <sheetViews>
    <sheetView showGridLines="0" zoomScaleNormal="100" workbookViewId="0">
      <selection sqref="A1:N1"/>
    </sheetView>
  </sheetViews>
  <sheetFormatPr defaultColWidth="8.7109375" defaultRowHeight="15" x14ac:dyDescent="0.25"/>
  <cols>
    <col min="1" max="1" width="32" style="7" customWidth="1"/>
    <col min="2" max="13" width="12" style="7" customWidth="1"/>
    <col min="14" max="14" width="14" style="7" customWidth="1"/>
  </cols>
  <sheetData>
    <row r="1" spans="1:14" ht="25.5" customHeight="1" x14ac:dyDescent="0.25">
      <c r="A1" s="2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" customHeight="1" x14ac:dyDescent="0.25">
      <c r="A2" s="21" t="s">
        <v>84</v>
      </c>
      <c r="B2" s="14" t="s">
        <v>59</v>
      </c>
      <c r="C2" s="14" t="s">
        <v>60</v>
      </c>
      <c r="D2" s="14" t="s">
        <v>61</v>
      </c>
      <c r="E2" s="14" t="s">
        <v>62</v>
      </c>
      <c r="F2" s="14" t="s">
        <v>63</v>
      </c>
      <c r="G2" s="14" t="s">
        <v>64</v>
      </c>
      <c r="H2" s="14" t="s">
        <v>65</v>
      </c>
      <c r="I2" s="14" t="s">
        <v>66</v>
      </c>
      <c r="J2" s="14" t="s">
        <v>67</v>
      </c>
      <c r="K2" s="14" t="s">
        <v>68</v>
      </c>
      <c r="L2" s="14" t="s">
        <v>69</v>
      </c>
      <c r="M2" s="14" t="s">
        <v>70</v>
      </c>
      <c r="N2" s="22" t="s">
        <v>73</v>
      </c>
    </row>
    <row r="3" spans="1:14" ht="15.75" customHeight="1" x14ac:dyDescent="0.25">
      <c r="A3" s="23" t="s">
        <v>85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15.75" customHeight="1" x14ac:dyDescent="0.25">
      <c r="A4" s="25" t="s">
        <v>86</v>
      </c>
      <c r="B4" s="29">
        <f>'3_Demand'!B11*'1_Assumptions'!$B$5</f>
        <v>104</v>
      </c>
      <c r="C4" s="29">
        <f>'3_Demand'!C11*'1_Assumptions'!$B$5</f>
        <v>120.60000000000001</v>
      </c>
      <c r="D4" s="29">
        <f>'3_Demand'!D11*'1_Assumptions'!$B$5</f>
        <v>124.2</v>
      </c>
      <c r="E4" s="29">
        <f>'3_Demand'!E11*'1_Assumptions'!$B$5</f>
        <v>156.20000000000002</v>
      </c>
      <c r="F4" s="29">
        <f>'3_Demand'!F11*'1_Assumptions'!$B$5</f>
        <v>189.8</v>
      </c>
      <c r="G4" s="29">
        <f>'3_Demand'!G11*'1_Assumptions'!$B$5</f>
        <v>225</v>
      </c>
      <c r="H4" s="29">
        <f>'3_Demand'!H11*'1_Assumptions'!$B$5</f>
        <v>261.8</v>
      </c>
      <c r="I4" s="29">
        <f>'3_Demand'!I11*'1_Assumptions'!$B$5</f>
        <v>316</v>
      </c>
      <c r="J4" s="29">
        <f>'3_Demand'!J11*'1_Assumptions'!$B$5</f>
        <v>372.6</v>
      </c>
      <c r="K4" s="29">
        <f>'3_Demand'!K11*'1_Assumptions'!$B$5</f>
        <v>448.2</v>
      </c>
      <c r="L4" s="29">
        <f>'3_Demand'!L11*'1_Assumptions'!$B$5</f>
        <v>510</v>
      </c>
      <c r="M4" s="29">
        <f>'3_Demand'!M11*'1_Assumptions'!$B$5</f>
        <v>609</v>
      </c>
      <c r="N4" s="30">
        <f>SUM(B4:M4)</f>
        <v>3437.3999999999996</v>
      </c>
    </row>
    <row r="5" spans="1:14" ht="15.75" customHeight="1" x14ac:dyDescent="0.25">
      <c r="A5" s="25" t="s">
        <v>87</v>
      </c>
      <c r="B5" s="29">
        <f>'3_Demand'!B6*'1_Assumptions'!$B$21</f>
        <v>400</v>
      </c>
      <c r="C5" s="29">
        <f>'3_Demand'!C6*'1_Assumptions'!$B$21</f>
        <v>450</v>
      </c>
      <c r="D5" s="29">
        <f>'3_Demand'!D6*'1_Assumptions'!$B$21</f>
        <v>450</v>
      </c>
      <c r="E5" s="29">
        <f>'3_Demand'!E6*'1_Assumptions'!$B$21</f>
        <v>550</v>
      </c>
      <c r="F5" s="29">
        <f>'3_Demand'!F6*'1_Assumptions'!$B$21</f>
        <v>650</v>
      </c>
      <c r="G5" s="29">
        <f>'3_Demand'!G6*'1_Assumptions'!$B$21</f>
        <v>750</v>
      </c>
      <c r="H5" s="29">
        <f>'3_Demand'!H6*'1_Assumptions'!$B$21</f>
        <v>850</v>
      </c>
      <c r="I5" s="29">
        <f>'3_Demand'!I6*'1_Assumptions'!$B$21</f>
        <v>1000</v>
      </c>
      <c r="J5" s="29">
        <f>'3_Demand'!J6*'1_Assumptions'!$B$21</f>
        <v>1150</v>
      </c>
      <c r="K5" s="29">
        <f>'3_Demand'!K6*'1_Assumptions'!$B$21</f>
        <v>1350</v>
      </c>
      <c r="L5" s="29">
        <f>'3_Demand'!L6*'1_Assumptions'!$B$21</f>
        <v>1500</v>
      </c>
      <c r="M5" s="29">
        <f>'3_Demand'!M6*'1_Assumptions'!$B$21</f>
        <v>1750</v>
      </c>
      <c r="N5" s="30">
        <f>SUM(B5:M5)</f>
        <v>10850</v>
      </c>
    </row>
    <row r="6" spans="1:14" ht="15.75" customHeight="1" x14ac:dyDescent="0.25">
      <c r="A6" s="25" t="s">
        <v>88</v>
      </c>
      <c r="B6" s="29">
        <f>'3_Demand'!B6*'1_Assumptions'!$B$22</f>
        <v>240</v>
      </c>
      <c r="C6" s="29">
        <f>'3_Demand'!C6*'1_Assumptions'!$B$22</f>
        <v>270</v>
      </c>
      <c r="D6" s="29">
        <f>'3_Demand'!D6*'1_Assumptions'!$B$22</f>
        <v>270</v>
      </c>
      <c r="E6" s="29">
        <f>'3_Demand'!E6*'1_Assumptions'!$B$22</f>
        <v>330</v>
      </c>
      <c r="F6" s="29">
        <f>'3_Demand'!F6*'1_Assumptions'!$B$22</f>
        <v>390</v>
      </c>
      <c r="G6" s="29">
        <f>'3_Demand'!G6*'1_Assumptions'!$B$22</f>
        <v>450</v>
      </c>
      <c r="H6" s="29">
        <f>'3_Demand'!H6*'1_Assumptions'!$B$22</f>
        <v>510</v>
      </c>
      <c r="I6" s="29">
        <f>'3_Demand'!I6*'1_Assumptions'!$B$22</f>
        <v>600</v>
      </c>
      <c r="J6" s="29">
        <f>'3_Demand'!J6*'1_Assumptions'!$B$22</f>
        <v>690</v>
      </c>
      <c r="K6" s="29">
        <f>'3_Demand'!K6*'1_Assumptions'!$B$22</f>
        <v>810</v>
      </c>
      <c r="L6" s="29">
        <f>'3_Demand'!L6*'1_Assumptions'!$B$22</f>
        <v>900</v>
      </c>
      <c r="M6" s="29">
        <f>'3_Demand'!M6*'1_Assumptions'!$B$22</f>
        <v>1050</v>
      </c>
      <c r="N6" s="30">
        <f>SUM(B6:M6)</f>
        <v>6510</v>
      </c>
    </row>
    <row r="7" spans="1:14" ht="15.75" customHeight="1" x14ac:dyDescent="0.25">
      <c r="A7" s="25" t="s">
        <v>89</v>
      </c>
      <c r="B7" s="29">
        <f>'3_Demand'!B6*'1_Assumptions'!$B$23</f>
        <v>160</v>
      </c>
      <c r="C7" s="29">
        <f>'3_Demand'!C6*'1_Assumptions'!$B$23</f>
        <v>180</v>
      </c>
      <c r="D7" s="29">
        <f>'3_Demand'!D6*'1_Assumptions'!$B$23</f>
        <v>180</v>
      </c>
      <c r="E7" s="29">
        <f>'3_Demand'!E6*'1_Assumptions'!$B$23</f>
        <v>220</v>
      </c>
      <c r="F7" s="29">
        <f>'3_Demand'!F6*'1_Assumptions'!$B$23</f>
        <v>260</v>
      </c>
      <c r="G7" s="29">
        <f>'3_Demand'!G6*'1_Assumptions'!$B$23</f>
        <v>300</v>
      </c>
      <c r="H7" s="29">
        <f>'3_Demand'!H6*'1_Assumptions'!$B$23</f>
        <v>340</v>
      </c>
      <c r="I7" s="29">
        <f>'3_Demand'!I6*'1_Assumptions'!$B$23</f>
        <v>400</v>
      </c>
      <c r="J7" s="29">
        <f>'3_Demand'!J6*'1_Assumptions'!$B$23</f>
        <v>460</v>
      </c>
      <c r="K7" s="29">
        <f>'3_Demand'!K6*'1_Assumptions'!$B$23</f>
        <v>540</v>
      </c>
      <c r="L7" s="29">
        <f>'3_Demand'!L6*'1_Assumptions'!$B$23</f>
        <v>600</v>
      </c>
      <c r="M7" s="29">
        <f>'3_Demand'!M6*'1_Assumptions'!$B$23</f>
        <v>700</v>
      </c>
      <c r="N7" s="30">
        <f>SUM(B7:M7)</f>
        <v>4340</v>
      </c>
    </row>
    <row r="8" spans="1:14" ht="15.75" customHeight="1" x14ac:dyDescent="0.25">
      <c r="A8" s="33" t="s">
        <v>90</v>
      </c>
      <c r="B8" s="34">
        <f t="shared" ref="B8:M8" si="0">B4+B5+B6+B7</f>
        <v>904</v>
      </c>
      <c r="C8" s="34">
        <f t="shared" si="0"/>
        <v>1020.6</v>
      </c>
      <c r="D8" s="34">
        <f t="shared" si="0"/>
        <v>1024.2</v>
      </c>
      <c r="E8" s="34">
        <f t="shared" si="0"/>
        <v>1256.2</v>
      </c>
      <c r="F8" s="34">
        <f t="shared" si="0"/>
        <v>1489.8</v>
      </c>
      <c r="G8" s="34">
        <f t="shared" si="0"/>
        <v>1725</v>
      </c>
      <c r="H8" s="34">
        <f t="shared" si="0"/>
        <v>1961.8</v>
      </c>
      <c r="I8" s="34">
        <f t="shared" si="0"/>
        <v>2316</v>
      </c>
      <c r="J8" s="34">
        <f t="shared" si="0"/>
        <v>2672.6</v>
      </c>
      <c r="K8" s="34">
        <f t="shared" si="0"/>
        <v>3148.2</v>
      </c>
      <c r="L8" s="34">
        <f t="shared" si="0"/>
        <v>3510</v>
      </c>
      <c r="M8" s="34">
        <f t="shared" si="0"/>
        <v>4109</v>
      </c>
      <c r="N8" s="34">
        <f>SUM(B8:M8)</f>
        <v>25137.4</v>
      </c>
    </row>
    <row r="9" spans="1:14" ht="15.75" customHeight="1" x14ac:dyDescent="0.25">
      <c r="A9" s="23" t="s">
        <v>91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15.75" customHeight="1" x14ac:dyDescent="0.25">
      <c r="A10" s="25" t="s">
        <v>92</v>
      </c>
      <c r="B10" s="29">
        <f>'1_Assumptions'!$B$25</f>
        <v>2500</v>
      </c>
      <c r="C10" s="29">
        <f>'1_Assumptions'!$B$25</f>
        <v>2500</v>
      </c>
      <c r="D10" s="29">
        <f>'1_Assumptions'!$B$25</f>
        <v>2500</v>
      </c>
      <c r="E10" s="29">
        <f>'1_Assumptions'!$B$25</f>
        <v>2500</v>
      </c>
      <c r="F10" s="29">
        <f>'1_Assumptions'!$B$25</f>
        <v>2500</v>
      </c>
      <c r="G10" s="29">
        <f>'1_Assumptions'!$B$25</f>
        <v>2500</v>
      </c>
      <c r="H10" s="29">
        <f>'1_Assumptions'!$B$25</f>
        <v>2500</v>
      </c>
      <c r="I10" s="29">
        <f>'1_Assumptions'!$B$25</f>
        <v>2500</v>
      </c>
      <c r="J10" s="29">
        <f>'1_Assumptions'!$B$25</f>
        <v>2500</v>
      </c>
      <c r="K10" s="29">
        <f>'1_Assumptions'!$B$25</f>
        <v>2500</v>
      </c>
      <c r="L10" s="29">
        <f>'1_Assumptions'!$B$25</f>
        <v>2500</v>
      </c>
      <c r="M10" s="29">
        <f>'1_Assumptions'!$B$25</f>
        <v>2500</v>
      </c>
      <c r="N10" s="30">
        <f t="shared" ref="N10:N15" si="1">SUM(B10:M10)</f>
        <v>30000</v>
      </c>
    </row>
    <row r="11" spans="1:14" ht="15.75" customHeight="1" x14ac:dyDescent="0.25">
      <c r="A11" s="25" t="s">
        <v>93</v>
      </c>
      <c r="B11" s="29">
        <f>'1_Assumptions'!$B$26</f>
        <v>4000</v>
      </c>
      <c r="C11" s="29">
        <f>'1_Assumptions'!$B$26</f>
        <v>4000</v>
      </c>
      <c r="D11" s="29">
        <f>'1_Assumptions'!$B$26</f>
        <v>4000</v>
      </c>
      <c r="E11" s="29">
        <f>'1_Assumptions'!$B$26</f>
        <v>4000</v>
      </c>
      <c r="F11" s="29">
        <f>'1_Assumptions'!$B$26</f>
        <v>4000</v>
      </c>
      <c r="G11" s="29">
        <f>'1_Assumptions'!$B$26</f>
        <v>4000</v>
      </c>
      <c r="H11" s="29">
        <f>'1_Assumptions'!$B$26</f>
        <v>4000</v>
      </c>
      <c r="I11" s="29">
        <f>'1_Assumptions'!$B$26</f>
        <v>4000</v>
      </c>
      <c r="J11" s="29">
        <f>'1_Assumptions'!$B$26</f>
        <v>4000</v>
      </c>
      <c r="K11" s="29">
        <f>'1_Assumptions'!$B$26</f>
        <v>4000</v>
      </c>
      <c r="L11" s="29">
        <f>'1_Assumptions'!$B$26</f>
        <v>4000</v>
      </c>
      <c r="M11" s="29">
        <f>'1_Assumptions'!$B$26</f>
        <v>4000</v>
      </c>
      <c r="N11" s="30">
        <f t="shared" si="1"/>
        <v>48000</v>
      </c>
    </row>
    <row r="12" spans="1:14" ht="15.75" customHeight="1" x14ac:dyDescent="0.25">
      <c r="A12" s="25" t="s">
        <v>94</v>
      </c>
      <c r="B12" s="29">
        <f>'1_Assumptions'!$B$27</f>
        <v>3000</v>
      </c>
      <c r="C12" s="29">
        <f>'1_Assumptions'!$B$27</f>
        <v>3000</v>
      </c>
      <c r="D12" s="29">
        <f>'1_Assumptions'!$B$27</f>
        <v>3000</v>
      </c>
      <c r="E12" s="29">
        <f>'1_Assumptions'!$B$27</f>
        <v>3000</v>
      </c>
      <c r="F12" s="29">
        <f>'1_Assumptions'!$B$27</f>
        <v>3000</v>
      </c>
      <c r="G12" s="29">
        <f>'1_Assumptions'!$B$27</f>
        <v>3000</v>
      </c>
      <c r="H12" s="29">
        <f>'1_Assumptions'!$B$27</f>
        <v>3000</v>
      </c>
      <c r="I12" s="29">
        <f>'1_Assumptions'!$B$27</f>
        <v>3000</v>
      </c>
      <c r="J12" s="29">
        <f>'1_Assumptions'!$B$27</f>
        <v>3000</v>
      </c>
      <c r="K12" s="29">
        <f>'1_Assumptions'!$B$27</f>
        <v>3000</v>
      </c>
      <c r="L12" s="29">
        <f>'1_Assumptions'!$B$27</f>
        <v>3000</v>
      </c>
      <c r="M12" s="29">
        <f>'1_Assumptions'!$B$27</f>
        <v>3000</v>
      </c>
      <c r="N12" s="30">
        <f t="shared" si="1"/>
        <v>36000</v>
      </c>
    </row>
    <row r="13" spans="1:14" ht="15.75" customHeight="1" x14ac:dyDescent="0.25">
      <c r="A13" s="25" t="s">
        <v>95</v>
      </c>
      <c r="B13" s="29">
        <f>'1_Assumptions'!$B$28</f>
        <v>1500</v>
      </c>
      <c r="C13" s="29">
        <f>'1_Assumptions'!$B$28</f>
        <v>1500</v>
      </c>
      <c r="D13" s="29">
        <f>'1_Assumptions'!$B$28</f>
        <v>1500</v>
      </c>
      <c r="E13" s="29">
        <f>'1_Assumptions'!$B$28</f>
        <v>1500</v>
      </c>
      <c r="F13" s="29">
        <f>'1_Assumptions'!$B$28</f>
        <v>1500</v>
      </c>
      <c r="G13" s="29">
        <f>'1_Assumptions'!$B$28</f>
        <v>1500</v>
      </c>
      <c r="H13" s="29">
        <f>'1_Assumptions'!$B$28</f>
        <v>1500</v>
      </c>
      <c r="I13" s="29">
        <f>'1_Assumptions'!$B$28</f>
        <v>1500</v>
      </c>
      <c r="J13" s="29">
        <f>'1_Assumptions'!$B$28</f>
        <v>1500</v>
      </c>
      <c r="K13" s="29">
        <f>'1_Assumptions'!$B$28</f>
        <v>1500</v>
      </c>
      <c r="L13" s="29">
        <f>'1_Assumptions'!$B$28</f>
        <v>1500</v>
      </c>
      <c r="M13" s="29">
        <f>'1_Assumptions'!$B$28</f>
        <v>1500</v>
      </c>
      <c r="N13" s="30">
        <f t="shared" si="1"/>
        <v>18000</v>
      </c>
    </row>
    <row r="14" spans="1:14" ht="15.75" customHeight="1" x14ac:dyDescent="0.25">
      <c r="A14" s="33" t="s">
        <v>96</v>
      </c>
      <c r="B14" s="34">
        <f t="shared" ref="B14:M14" si="2">B10+B11+B12+B13</f>
        <v>11000</v>
      </c>
      <c r="C14" s="34">
        <f t="shared" si="2"/>
        <v>11000</v>
      </c>
      <c r="D14" s="34">
        <f t="shared" si="2"/>
        <v>11000</v>
      </c>
      <c r="E14" s="34">
        <f t="shared" si="2"/>
        <v>11000</v>
      </c>
      <c r="F14" s="34">
        <f t="shared" si="2"/>
        <v>11000</v>
      </c>
      <c r="G14" s="34">
        <f t="shared" si="2"/>
        <v>11000</v>
      </c>
      <c r="H14" s="34">
        <f t="shared" si="2"/>
        <v>11000</v>
      </c>
      <c r="I14" s="34">
        <f t="shared" si="2"/>
        <v>11000</v>
      </c>
      <c r="J14" s="34">
        <f t="shared" si="2"/>
        <v>11000</v>
      </c>
      <c r="K14" s="34">
        <f t="shared" si="2"/>
        <v>11000</v>
      </c>
      <c r="L14" s="34">
        <f t="shared" si="2"/>
        <v>11000</v>
      </c>
      <c r="M14" s="34">
        <f t="shared" si="2"/>
        <v>11000</v>
      </c>
      <c r="N14" s="34">
        <f t="shared" si="1"/>
        <v>132000</v>
      </c>
    </row>
    <row r="15" spans="1:14" ht="15.75" customHeight="1" x14ac:dyDescent="0.25">
      <c r="A15" s="33" t="s">
        <v>97</v>
      </c>
      <c r="B15" s="35">
        <f t="shared" ref="B15:M15" si="3">B8+B14</f>
        <v>11904</v>
      </c>
      <c r="C15" s="35">
        <f t="shared" si="3"/>
        <v>12020.6</v>
      </c>
      <c r="D15" s="35">
        <f t="shared" si="3"/>
        <v>12024.2</v>
      </c>
      <c r="E15" s="35">
        <f t="shared" si="3"/>
        <v>12256.2</v>
      </c>
      <c r="F15" s="35">
        <f t="shared" si="3"/>
        <v>12489.8</v>
      </c>
      <c r="G15" s="35">
        <f t="shared" si="3"/>
        <v>12725</v>
      </c>
      <c r="H15" s="35">
        <f t="shared" si="3"/>
        <v>12961.8</v>
      </c>
      <c r="I15" s="35">
        <f t="shared" si="3"/>
        <v>13316</v>
      </c>
      <c r="J15" s="35">
        <f t="shared" si="3"/>
        <v>13672.6</v>
      </c>
      <c r="K15" s="35">
        <f t="shared" si="3"/>
        <v>14148.2</v>
      </c>
      <c r="L15" s="35">
        <f t="shared" si="3"/>
        <v>14510</v>
      </c>
      <c r="M15" s="35">
        <f t="shared" si="3"/>
        <v>15109</v>
      </c>
      <c r="N15" s="35">
        <f t="shared" si="1"/>
        <v>157137.40000000002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"/>
  <sheetViews>
    <sheetView showGridLines="0" zoomScaleNormal="100" workbookViewId="0">
      <selection sqref="A1:N1"/>
    </sheetView>
  </sheetViews>
  <sheetFormatPr defaultColWidth="8.7109375" defaultRowHeight="15" x14ac:dyDescent="0.25"/>
  <cols>
    <col min="1" max="1" width="35" style="7" customWidth="1"/>
    <col min="2" max="13" width="12" style="7" customWidth="1"/>
    <col min="14" max="14" width="14" style="7" customWidth="1"/>
  </cols>
  <sheetData>
    <row r="1" spans="1:14" ht="25.5" customHeight="1" x14ac:dyDescent="0.25">
      <c r="A1" s="2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" customHeight="1" x14ac:dyDescent="0.25">
      <c r="A2" s="21" t="s">
        <v>72</v>
      </c>
      <c r="B2" s="14" t="s">
        <v>59</v>
      </c>
      <c r="C2" s="14" t="s">
        <v>60</v>
      </c>
      <c r="D2" s="14" t="s">
        <v>61</v>
      </c>
      <c r="E2" s="14" t="s">
        <v>62</v>
      </c>
      <c r="F2" s="14" t="s">
        <v>63</v>
      </c>
      <c r="G2" s="14" t="s">
        <v>64</v>
      </c>
      <c r="H2" s="14" t="s">
        <v>65</v>
      </c>
      <c r="I2" s="14" t="s">
        <v>66</v>
      </c>
      <c r="J2" s="14" t="s">
        <v>67</v>
      </c>
      <c r="K2" s="14" t="s">
        <v>68</v>
      </c>
      <c r="L2" s="14" t="s">
        <v>69</v>
      </c>
      <c r="M2" s="14" t="s">
        <v>70</v>
      </c>
      <c r="N2" s="22" t="s">
        <v>73</v>
      </c>
    </row>
    <row r="3" spans="1:14" ht="15.75" customHeight="1" x14ac:dyDescent="0.25">
      <c r="A3" s="36" t="s">
        <v>99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15.75" customHeight="1" x14ac:dyDescent="0.25">
      <c r="A4" s="16" t="s">
        <v>100</v>
      </c>
      <c r="B4" s="29">
        <f>'3_Demand'!B10</f>
        <v>5200</v>
      </c>
      <c r="C4" s="29">
        <f>'3_Demand'!C10</f>
        <v>6030</v>
      </c>
      <c r="D4" s="29">
        <f>'3_Demand'!D10</f>
        <v>6900</v>
      </c>
      <c r="E4" s="29">
        <f>'3_Demand'!E10</f>
        <v>8520</v>
      </c>
      <c r="F4" s="29">
        <f>'3_Demand'!F10</f>
        <v>10220</v>
      </c>
      <c r="G4" s="29">
        <f>'3_Demand'!G10</f>
        <v>12000</v>
      </c>
      <c r="H4" s="29">
        <f>'3_Demand'!H10</f>
        <v>13860</v>
      </c>
      <c r="I4" s="29">
        <f>'3_Demand'!I10</f>
        <v>16590</v>
      </c>
      <c r="J4" s="29">
        <f>'3_Demand'!J10</f>
        <v>19440</v>
      </c>
      <c r="K4" s="29">
        <f>'3_Demand'!K10</f>
        <v>23240</v>
      </c>
      <c r="L4" s="29">
        <f>'3_Demand'!L10</f>
        <v>27200</v>
      </c>
      <c r="M4" s="29">
        <f>'3_Demand'!M10</f>
        <v>32190</v>
      </c>
      <c r="N4" s="30">
        <f>SUM(B4:M4)</f>
        <v>181390</v>
      </c>
    </row>
    <row r="5" spans="1:14" ht="15.75" customHeight="1" x14ac:dyDescent="0.25">
      <c r="A5" s="16" t="s">
        <v>101</v>
      </c>
      <c r="B5" s="29">
        <f>'3_Demand'!B5</f>
        <v>0</v>
      </c>
      <c r="C5" s="29">
        <f>'3_Demand'!C5</f>
        <v>0</v>
      </c>
      <c r="D5" s="29">
        <f>'3_Demand'!D5</f>
        <v>-1</v>
      </c>
      <c r="E5" s="29">
        <f>'3_Demand'!E5</f>
        <v>-1</v>
      </c>
      <c r="F5" s="29">
        <f>'3_Demand'!F5</f>
        <v>-1</v>
      </c>
      <c r="G5" s="29">
        <f>'3_Demand'!G5</f>
        <v>-1</v>
      </c>
      <c r="H5" s="29">
        <f>'3_Demand'!H5</f>
        <v>-1</v>
      </c>
      <c r="I5" s="29">
        <f>'3_Demand'!I5</f>
        <v>-1</v>
      </c>
      <c r="J5" s="29">
        <f>'3_Demand'!J5</f>
        <v>-1</v>
      </c>
      <c r="K5" s="29">
        <f>'3_Demand'!K5</f>
        <v>-1</v>
      </c>
      <c r="L5" s="29">
        <f>'3_Demand'!L5</f>
        <v>-2</v>
      </c>
      <c r="M5" s="29">
        <f>'3_Demand'!M5</f>
        <v>-2</v>
      </c>
      <c r="N5" s="30">
        <f>SUM(B5:M5)</f>
        <v>-12</v>
      </c>
    </row>
    <row r="6" spans="1:14" ht="15.75" customHeight="1" x14ac:dyDescent="0.25">
      <c r="A6" s="37" t="s">
        <v>102</v>
      </c>
      <c r="B6" s="34">
        <f>'3_Demand'!B11</f>
        <v>5200</v>
      </c>
      <c r="C6" s="34">
        <f>'3_Demand'!C11</f>
        <v>6030</v>
      </c>
      <c r="D6" s="34">
        <f>'3_Demand'!D11</f>
        <v>6210</v>
      </c>
      <c r="E6" s="34">
        <f>'3_Demand'!E11</f>
        <v>7810</v>
      </c>
      <c r="F6" s="34">
        <f>'3_Demand'!F11</f>
        <v>9490</v>
      </c>
      <c r="G6" s="34">
        <f>'3_Demand'!G11</f>
        <v>11250</v>
      </c>
      <c r="H6" s="34">
        <f>'3_Demand'!H11</f>
        <v>13090</v>
      </c>
      <c r="I6" s="34">
        <f>'3_Demand'!I11</f>
        <v>15800</v>
      </c>
      <c r="J6" s="34">
        <f>'3_Demand'!J11</f>
        <v>18630</v>
      </c>
      <c r="K6" s="34">
        <f>'3_Demand'!K11</f>
        <v>22410</v>
      </c>
      <c r="L6" s="34">
        <f>'3_Demand'!L11</f>
        <v>25500</v>
      </c>
      <c r="M6" s="34">
        <f>'3_Demand'!M11</f>
        <v>30450</v>
      </c>
      <c r="N6" s="34">
        <f>SUM(B6:M6)</f>
        <v>171870</v>
      </c>
    </row>
    <row r="7" spans="1:14" ht="15.75" customHeight="1" x14ac:dyDescent="0.25">
      <c r="A7" s="37" t="s">
        <v>103</v>
      </c>
      <c r="B7" s="34">
        <f>'3_Demand'!B11*'1_Assumptions'!$B$4</f>
        <v>520</v>
      </c>
      <c r="C7" s="34">
        <f>'3_Demand'!C11*'1_Assumptions'!$B$4</f>
        <v>603</v>
      </c>
      <c r="D7" s="34">
        <f>'3_Demand'!D11*'1_Assumptions'!$B$4</f>
        <v>621</v>
      </c>
      <c r="E7" s="34">
        <f>'3_Demand'!E11*'1_Assumptions'!$B$4</f>
        <v>781</v>
      </c>
      <c r="F7" s="34">
        <f>'3_Demand'!F11*'1_Assumptions'!$B$4</f>
        <v>949</v>
      </c>
      <c r="G7" s="34">
        <f>'3_Demand'!G11*'1_Assumptions'!$B$4</f>
        <v>1125</v>
      </c>
      <c r="H7" s="34">
        <f>'3_Demand'!H11*'1_Assumptions'!$B$4</f>
        <v>1309</v>
      </c>
      <c r="I7" s="34">
        <f>'3_Demand'!I11*'1_Assumptions'!$B$4</f>
        <v>1580</v>
      </c>
      <c r="J7" s="34">
        <f>'3_Demand'!J11*'1_Assumptions'!$B$4</f>
        <v>1863</v>
      </c>
      <c r="K7" s="34">
        <f>'3_Demand'!K11*'1_Assumptions'!$B$4</f>
        <v>2241</v>
      </c>
      <c r="L7" s="34">
        <f>'3_Demand'!L11*'1_Assumptions'!$B$4</f>
        <v>2550</v>
      </c>
      <c r="M7" s="34">
        <f>'3_Demand'!M11*'1_Assumptions'!$B$4</f>
        <v>3045</v>
      </c>
      <c r="N7" s="34">
        <f>SUM(B7:M7)</f>
        <v>17187</v>
      </c>
    </row>
    <row r="8" spans="1:14" ht="15.75" customHeight="1" x14ac:dyDescent="0.25">
      <c r="A8" s="36" t="s">
        <v>85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ht="15.75" customHeight="1" x14ac:dyDescent="0.25">
      <c r="A9" s="16" t="s">
        <v>104</v>
      </c>
      <c r="B9" s="29">
        <f>'4_Costs'!B4</f>
        <v>104</v>
      </c>
      <c r="C9" s="29">
        <f>'4_Costs'!C4</f>
        <v>120.60000000000001</v>
      </c>
      <c r="D9" s="29">
        <f>'4_Costs'!D4</f>
        <v>124.2</v>
      </c>
      <c r="E9" s="29">
        <f>'4_Costs'!E4</f>
        <v>156.20000000000002</v>
      </c>
      <c r="F9" s="29">
        <f>'4_Costs'!F4</f>
        <v>189.8</v>
      </c>
      <c r="G9" s="29">
        <f>'4_Costs'!G4</f>
        <v>225</v>
      </c>
      <c r="H9" s="29">
        <f>'4_Costs'!H4</f>
        <v>261.8</v>
      </c>
      <c r="I9" s="29">
        <f>'4_Costs'!I4</f>
        <v>316</v>
      </c>
      <c r="J9" s="29">
        <f>'4_Costs'!J4</f>
        <v>372.6</v>
      </c>
      <c r="K9" s="29">
        <f>'4_Costs'!K4</f>
        <v>448.2</v>
      </c>
      <c r="L9" s="29">
        <f>'4_Costs'!L4</f>
        <v>510</v>
      </c>
      <c r="M9" s="29">
        <f>'4_Costs'!M4</f>
        <v>609</v>
      </c>
      <c r="N9" s="30">
        <f t="shared" ref="N9:N14" si="0">SUM(B9:M9)</f>
        <v>3437.3999999999996</v>
      </c>
    </row>
    <row r="10" spans="1:14" ht="15.75" customHeight="1" x14ac:dyDescent="0.25">
      <c r="A10" s="16" t="s">
        <v>105</v>
      </c>
      <c r="B10" s="29">
        <f>'4_Costs'!B5</f>
        <v>400</v>
      </c>
      <c r="C10" s="29">
        <f>'4_Costs'!C5</f>
        <v>450</v>
      </c>
      <c r="D10" s="29">
        <f>'4_Costs'!D5</f>
        <v>450</v>
      </c>
      <c r="E10" s="29">
        <f>'4_Costs'!E5</f>
        <v>550</v>
      </c>
      <c r="F10" s="29">
        <f>'4_Costs'!F5</f>
        <v>650</v>
      </c>
      <c r="G10" s="29">
        <f>'4_Costs'!G5</f>
        <v>750</v>
      </c>
      <c r="H10" s="29">
        <f>'4_Costs'!H5</f>
        <v>850</v>
      </c>
      <c r="I10" s="29">
        <f>'4_Costs'!I5</f>
        <v>1000</v>
      </c>
      <c r="J10" s="29">
        <f>'4_Costs'!J5</f>
        <v>1150</v>
      </c>
      <c r="K10" s="29">
        <f>'4_Costs'!K5</f>
        <v>1350</v>
      </c>
      <c r="L10" s="29">
        <f>'4_Costs'!L5</f>
        <v>1500</v>
      </c>
      <c r="M10" s="29">
        <f>'4_Costs'!M5</f>
        <v>1750</v>
      </c>
      <c r="N10" s="30">
        <f t="shared" si="0"/>
        <v>10850</v>
      </c>
    </row>
    <row r="11" spans="1:14" ht="15.75" customHeight="1" x14ac:dyDescent="0.25">
      <c r="A11" s="16" t="s">
        <v>106</v>
      </c>
      <c r="B11" s="29">
        <f>'4_Costs'!B6</f>
        <v>240</v>
      </c>
      <c r="C11" s="29">
        <f>'4_Costs'!C6</f>
        <v>270</v>
      </c>
      <c r="D11" s="29">
        <f>'4_Costs'!D6</f>
        <v>270</v>
      </c>
      <c r="E11" s="29">
        <f>'4_Costs'!E6</f>
        <v>330</v>
      </c>
      <c r="F11" s="29">
        <f>'4_Costs'!F6</f>
        <v>390</v>
      </c>
      <c r="G11" s="29">
        <f>'4_Costs'!G6</f>
        <v>450</v>
      </c>
      <c r="H11" s="29">
        <f>'4_Costs'!H6</f>
        <v>510</v>
      </c>
      <c r="I11" s="29">
        <f>'4_Costs'!I6</f>
        <v>600</v>
      </c>
      <c r="J11" s="29">
        <f>'4_Costs'!J6</f>
        <v>690</v>
      </c>
      <c r="K11" s="29">
        <f>'4_Costs'!K6</f>
        <v>810</v>
      </c>
      <c r="L11" s="29">
        <f>'4_Costs'!L6</f>
        <v>900</v>
      </c>
      <c r="M11" s="29">
        <f>'4_Costs'!M6</f>
        <v>1050</v>
      </c>
      <c r="N11" s="30">
        <f t="shared" si="0"/>
        <v>6510</v>
      </c>
    </row>
    <row r="12" spans="1:14" ht="15.75" customHeight="1" x14ac:dyDescent="0.25">
      <c r="A12" s="16" t="s">
        <v>107</v>
      </c>
      <c r="B12" s="29">
        <f>'4_Costs'!B7</f>
        <v>160</v>
      </c>
      <c r="C12" s="29">
        <f>'4_Costs'!C7</f>
        <v>180</v>
      </c>
      <c r="D12" s="29">
        <f>'4_Costs'!D7</f>
        <v>180</v>
      </c>
      <c r="E12" s="29">
        <f>'4_Costs'!E7</f>
        <v>220</v>
      </c>
      <c r="F12" s="29">
        <f>'4_Costs'!F7</f>
        <v>260</v>
      </c>
      <c r="G12" s="29">
        <f>'4_Costs'!G7</f>
        <v>300</v>
      </c>
      <c r="H12" s="29">
        <f>'4_Costs'!H7</f>
        <v>340</v>
      </c>
      <c r="I12" s="29">
        <f>'4_Costs'!I7</f>
        <v>400</v>
      </c>
      <c r="J12" s="29">
        <f>'4_Costs'!J7</f>
        <v>460</v>
      </c>
      <c r="K12" s="29">
        <f>'4_Costs'!K7</f>
        <v>540</v>
      </c>
      <c r="L12" s="29">
        <f>'4_Costs'!L7</f>
        <v>600</v>
      </c>
      <c r="M12" s="29">
        <f>'4_Costs'!M7</f>
        <v>700</v>
      </c>
      <c r="N12" s="30">
        <f t="shared" si="0"/>
        <v>4340</v>
      </c>
    </row>
    <row r="13" spans="1:14" ht="15.75" customHeight="1" x14ac:dyDescent="0.25">
      <c r="A13" s="37" t="s">
        <v>108</v>
      </c>
      <c r="B13" s="34">
        <f>'4_Costs'!B8</f>
        <v>904</v>
      </c>
      <c r="C13" s="34">
        <f>'4_Costs'!C8</f>
        <v>1020.6</v>
      </c>
      <c r="D13" s="34">
        <f>'4_Costs'!D8</f>
        <v>1024.2</v>
      </c>
      <c r="E13" s="34">
        <f>'4_Costs'!E8</f>
        <v>1256.2</v>
      </c>
      <c r="F13" s="34">
        <f>'4_Costs'!F8</f>
        <v>1489.8</v>
      </c>
      <c r="G13" s="34">
        <f>'4_Costs'!G8</f>
        <v>1725</v>
      </c>
      <c r="H13" s="34">
        <f>'4_Costs'!H8</f>
        <v>1961.8</v>
      </c>
      <c r="I13" s="34">
        <f>'4_Costs'!I8</f>
        <v>2316</v>
      </c>
      <c r="J13" s="34">
        <f>'4_Costs'!J8</f>
        <v>2672.6</v>
      </c>
      <c r="K13" s="34">
        <f>'4_Costs'!K8</f>
        <v>3148.2</v>
      </c>
      <c r="L13" s="34">
        <f>'4_Costs'!L8</f>
        <v>3510</v>
      </c>
      <c r="M13" s="34">
        <f>'4_Costs'!M8</f>
        <v>4109</v>
      </c>
      <c r="N13" s="34">
        <f t="shared" si="0"/>
        <v>25137.4</v>
      </c>
    </row>
    <row r="14" spans="1:14" ht="15.75" customHeight="1" x14ac:dyDescent="0.25">
      <c r="A14" s="38" t="s">
        <v>109</v>
      </c>
      <c r="B14" s="39">
        <f t="shared" ref="B14:M14" si="1">B7-B13</f>
        <v>-384</v>
      </c>
      <c r="C14" s="39">
        <f t="shared" si="1"/>
        <v>-417.6</v>
      </c>
      <c r="D14" s="39">
        <f t="shared" si="1"/>
        <v>-403.20000000000005</v>
      </c>
      <c r="E14" s="39">
        <f t="shared" si="1"/>
        <v>-475.20000000000005</v>
      </c>
      <c r="F14" s="39">
        <f t="shared" si="1"/>
        <v>-540.79999999999995</v>
      </c>
      <c r="G14" s="39">
        <f t="shared" si="1"/>
        <v>-600</v>
      </c>
      <c r="H14" s="39">
        <f t="shared" si="1"/>
        <v>-652.79999999999995</v>
      </c>
      <c r="I14" s="39">
        <f t="shared" si="1"/>
        <v>-736</v>
      </c>
      <c r="J14" s="39">
        <f t="shared" si="1"/>
        <v>-809.59999999999991</v>
      </c>
      <c r="K14" s="39">
        <f t="shared" si="1"/>
        <v>-907.19999999999982</v>
      </c>
      <c r="L14" s="39">
        <f t="shared" si="1"/>
        <v>-960</v>
      </c>
      <c r="M14" s="39">
        <f t="shared" si="1"/>
        <v>-1064</v>
      </c>
      <c r="N14" s="39">
        <f t="shared" si="0"/>
        <v>-7950.4000000000005</v>
      </c>
    </row>
    <row r="15" spans="1:14" ht="15.75" customHeight="1" x14ac:dyDescent="0.25">
      <c r="A15" s="16" t="s">
        <v>110</v>
      </c>
      <c r="B15" s="40">
        <f t="shared" ref="B15:M15" si="2">IFERROR(B14/B7,0)</f>
        <v>-0.7384615384615385</v>
      </c>
      <c r="C15" s="40">
        <f t="shared" si="2"/>
        <v>-0.69253731343283587</v>
      </c>
      <c r="D15" s="40">
        <f t="shared" si="2"/>
        <v>-0.64927536231884064</v>
      </c>
      <c r="E15" s="40">
        <f t="shared" si="2"/>
        <v>-0.60845070422535219</v>
      </c>
      <c r="F15" s="40">
        <f t="shared" si="2"/>
        <v>-0.56986301369863013</v>
      </c>
      <c r="G15" s="40">
        <f t="shared" si="2"/>
        <v>-0.53333333333333333</v>
      </c>
      <c r="H15" s="40">
        <f t="shared" si="2"/>
        <v>-0.49870129870129865</v>
      </c>
      <c r="I15" s="40">
        <f t="shared" si="2"/>
        <v>-0.46582278481012657</v>
      </c>
      <c r="J15" s="40">
        <f t="shared" si="2"/>
        <v>-0.43456790123456784</v>
      </c>
      <c r="K15" s="40">
        <f t="shared" si="2"/>
        <v>-0.40481927710843363</v>
      </c>
      <c r="L15" s="40">
        <f t="shared" si="2"/>
        <v>-0.37647058823529411</v>
      </c>
      <c r="M15" s="40">
        <f t="shared" si="2"/>
        <v>-0.34942528735632183</v>
      </c>
      <c r="N15" s="41">
        <f>AVERAGE(B15:M15)</f>
        <v>-0.52681070024304777</v>
      </c>
    </row>
    <row r="16" spans="1:14" ht="15.75" customHeight="1" x14ac:dyDescent="0.25">
      <c r="A16" s="36" t="s">
        <v>91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5.75" customHeight="1" x14ac:dyDescent="0.25">
      <c r="A17" s="16" t="s">
        <v>92</v>
      </c>
      <c r="B17" s="29">
        <f>'4_Costs'!B10</f>
        <v>2500</v>
      </c>
      <c r="C17" s="29">
        <f>'4_Costs'!C10</f>
        <v>2500</v>
      </c>
      <c r="D17" s="29">
        <f>'4_Costs'!D10</f>
        <v>2500</v>
      </c>
      <c r="E17" s="29">
        <f>'4_Costs'!E10</f>
        <v>2500</v>
      </c>
      <c r="F17" s="29">
        <f>'4_Costs'!F10</f>
        <v>2500</v>
      </c>
      <c r="G17" s="29">
        <f>'4_Costs'!G10</f>
        <v>2500</v>
      </c>
      <c r="H17" s="29">
        <f>'4_Costs'!H10</f>
        <v>2500</v>
      </c>
      <c r="I17" s="29">
        <f>'4_Costs'!I10</f>
        <v>2500</v>
      </c>
      <c r="J17" s="29">
        <f>'4_Costs'!J10</f>
        <v>2500</v>
      </c>
      <c r="K17" s="29">
        <f>'4_Costs'!K10</f>
        <v>2500</v>
      </c>
      <c r="L17" s="29">
        <f>'4_Costs'!L10</f>
        <v>2500</v>
      </c>
      <c r="M17" s="29">
        <f>'4_Costs'!M10</f>
        <v>2500</v>
      </c>
      <c r="N17" s="30">
        <f t="shared" ref="N17:N22" si="3">SUM(B17:M17)</f>
        <v>30000</v>
      </c>
    </row>
    <row r="18" spans="1:14" ht="15.75" customHeight="1" x14ac:dyDescent="0.25">
      <c r="A18" s="16" t="s">
        <v>111</v>
      </c>
      <c r="B18" s="29">
        <f>'4_Costs'!B11</f>
        <v>4000</v>
      </c>
      <c r="C18" s="29">
        <f>'4_Costs'!C11</f>
        <v>4000</v>
      </c>
      <c r="D18" s="29">
        <f>'4_Costs'!D11</f>
        <v>4000</v>
      </c>
      <c r="E18" s="29">
        <f>'4_Costs'!E11</f>
        <v>4000</v>
      </c>
      <c r="F18" s="29">
        <f>'4_Costs'!F11</f>
        <v>4000</v>
      </c>
      <c r="G18" s="29">
        <f>'4_Costs'!G11</f>
        <v>4000</v>
      </c>
      <c r="H18" s="29">
        <f>'4_Costs'!H11</f>
        <v>4000</v>
      </c>
      <c r="I18" s="29">
        <f>'4_Costs'!I11</f>
        <v>4000</v>
      </c>
      <c r="J18" s="29">
        <f>'4_Costs'!J11</f>
        <v>4000</v>
      </c>
      <c r="K18" s="29">
        <f>'4_Costs'!K11</f>
        <v>4000</v>
      </c>
      <c r="L18" s="29">
        <f>'4_Costs'!L11</f>
        <v>4000</v>
      </c>
      <c r="M18" s="29">
        <f>'4_Costs'!M11</f>
        <v>4000</v>
      </c>
      <c r="N18" s="30">
        <f t="shared" si="3"/>
        <v>48000</v>
      </c>
    </row>
    <row r="19" spans="1:14" ht="15.75" customHeight="1" x14ac:dyDescent="0.25">
      <c r="A19" s="16" t="s">
        <v>112</v>
      </c>
      <c r="B19" s="29">
        <f>'4_Costs'!B12</f>
        <v>3000</v>
      </c>
      <c r="C19" s="29">
        <f>'4_Costs'!C12</f>
        <v>3000</v>
      </c>
      <c r="D19" s="29">
        <f>'4_Costs'!D12</f>
        <v>3000</v>
      </c>
      <c r="E19" s="29">
        <f>'4_Costs'!E12</f>
        <v>3000</v>
      </c>
      <c r="F19" s="29">
        <f>'4_Costs'!F12</f>
        <v>3000</v>
      </c>
      <c r="G19" s="29">
        <f>'4_Costs'!G12</f>
        <v>3000</v>
      </c>
      <c r="H19" s="29">
        <f>'4_Costs'!H12</f>
        <v>3000</v>
      </c>
      <c r="I19" s="29">
        <f>'4_Costs'!I12</f>
        <v>3000</v>
      </c>
      <c r="J19" s="29">
        <f>'4_Costs'!J12</f>
        <v>3000</v>
      </c>
      <c r="K19" s="29">
        <f>'4_Costs'!K12</f>
        <v>3000</v>
      </c>
      <c r="L19" s="29">
        <f>'4_Costs'!L12</f>
        <v>3000</v>
      </c>
      <c r="M19" s="29">
        <f>'4_Costs'!M12</f>
        <v>3000</v>
      </c>
      <c r="N19" s="30">
        <f t="shared" si="3"/>
        <v>36000</v>
      </c>
    </row>
    <row r="20" spans="1:14" ht="15.75" customHeight="1" x14ac:dyDescent="0.25">
      <c r="A20" s="16" t="s">
        <v>113</v>
      </c>
      <c r="B20" s="29">
        <f>'4_Costs'!B13</f>
        <v>1500</v>
      </c>
      <c r="C20" s="29">
        <f>'4_Costs'!C13</f>
        <v>1500</v>
      </c>
      <c r="D20" s="29">
        <f>'4_Costs'!D13</f>
        <v>1500</v>
      </c>
      <c r="E20" s="29">
        <f>'4_Costs'!E13</f>
        <v>1500</v>
      </c>
      <c r="F20" s="29">
        <f>'4_Costs'!F13</f>
        <v>1500</v>
      </c>
      <c r="G20" s="29">
        <f>'4_Costs'!G13</f>
        <v>1500</v>
      </c>
      <c r="H20" s="29">
        <f>'4_Costs'!H13</f>
        <v>1500</v>
      </c>
      <c r="I20" s="29">
        <f>'4_Costs'!I13</f>
        <v>1500</v>
      </c>
      <c r="J20" s="29">
        <f>'4_Costs'!J13</f>
        <v>1500</v>
      </c>
      <c r="K20" s="29">
        <f>'4_Costs'!K13</f>
        <v>1500</v>
      </c>
      <c r="L20" s="29">
        <f>'4_Costs'!L13</f>
        <v>1500</v>
      </c>
      <c r="M20" s="29">
        <f>'4_Costs'!M13</f>
        <v>1500</v>
      </c>
      <c r="N20" s="30">
        <f t="shared" si="3"/>
        <v>18000</v>
      </c>
    </row>
    <row r="21" spans="1:14" ht="15.75" customHeight="1" x14ac:dyDescent="0.25">
      <c r="A21" s="37" t="s">
        <v>114</v>
      </c>
      <c r="B21" s="34">
        <f>'4_Costs'!B14</f>
        <v>11000</v>
      </c>
      <c r="C21" s="34">
        <f>'4_Costs'!C14</f>
        <v>11000</v>
      </c>
      <c r="D21" s="34">
        <f>'4_Costs'!D14</f>
        <v>11000</v>
      </c>
      <c r="E21" s="34">
        <f>'4_Costs'!E14</f>
        <v>11000</v>
      </c>
      <c r="F21" s="34">
        <f>'4_Costs'!F14</f>
        <v>11000</v>
      </c>
      <c r="G21" s="34">
        <f>'4_Costs'!G14</f>
        <v>11000</v>
      </c>
      <c r="H21" s="34">
        <f>'4_Costs'!H14</f>
        <v>11000</v>
      </c>
      <c r="I21" s="34">
        <f>'4_Costs'!I14</f>
        <v>11000</v>
      </c>
      <c r="J21" s="34">
        <f>'4_Costs'!J14</f>
        <v>11000</v>
      </c>
      <c r="K21" s="34">
        <f>'4_Costs'!K14</f>
        <v>11000</v>
      </c>
      <c r="L21" s="34">
        <f>'4_Costs'!L14</f>
        <v>11000</v>
      </c>
      <c r="M21" s="34">
        <f>'4_Costs'!M14</f>
        <v>11000</v>
      </c>
      <c r="N21" s="34">
        <f t="shared" si="3"/>
        <v>132000</v>
      </c>
    </row>
    <row r="22" spans="1:14" ht="15.75" customHeight="1" x14ac:dyDescent="0.25">
      <c r="A22" s="38" t="s">
        <v>115</v>
      </c>
      <c r="B22" s="39">
        <f t="shared" ref="B22:M22" si="4">B14-B21</f>
        <v>-11384</v>
      </c>
      <c r="C22" s="39">
        <f t="shared" si="4"/>
        <v>-11417.6</v>
      </c>
      <c r="D22" s="39">
        <f t="shared" si="4"/>
        <v>-11403.2</v>
      </c>
      <c r="E22" s="39">
        <f t="shared" si="4"/>
        <v>-11475.2</v>
      </c>
      <c r="F22" s="39">
        <f t="shared" si="4"/>
        <v>-11540.8</v>
      </c>
      <c r="G22" s="39">
        <f t="shared" si="4"/>
        <v>-11600</v>
      </c>
      <c r="H22" s="39">
        <f t="shared" si="4"/>
        <v>-11652.8</v>
      </c>
      <c r="I22" s="39">
        <f t="shared" si="4"/>
        <v>-11736</v>
      </c>
      <c r="J22" s="39">
        <f t="shared" si="4"/>
        <v>-11809.6</v>
      </c>
      <c r="K22" s="39">
        <f t="shared" si="4"/>
        <v>-11907.2</v>
      </c>
      <c r="L22" s="39">
        <f t="shared" si="4"/>
        <v>-11960</v>
      </c>
      <c r="M22" s="39">
        <f t="shared" si="4"/>
        <v>-12064</v>
      </c>
      <c r="N22" s="39">
        <f t="shared" si="3"/>
        <v>-139950.40000000002</v>
      </c>
    </row>
    <row r="23" spans="1:14" ht="15.75" customHeight="1" x14ac:dyDescent="0.25">
      <c r="A23" s="16" t="s">
        <v>116</v>
      </c>
      <c r="B23" s="39">
        <f>B22</f>
        <v>-11384</v>
      </c>
      <c r="C23" s="39">
        <f t="shared" ref="C23:M23" si="5">B23+C22</f>
        <v>-22801.599999999999</v>
      </c>
      <c r="D23" s="39">
        <f t="shared" si="5"/>
        <v>-34204.800000000003</v>
      </c>
      <c r="E23" s="39">
        <f t="shared" si="5"/>
        <v>-45680</v>
      </c>
      <c r="F23" s="39">
        <f t="shared" si="5"/>
        <v>-57220.800000000003</v>
      </c>
      <c r="G23" s="39">
        <f t="shared" si="5"/>
        <v>-68820.800000000003</v>
      </c>
      <c r="H23" s="39">
        <f t="shared" si="5"/>
        <v>-80473.600000000006</v>
      </c>
      <c r="I23" s="39">
        <f t="shared" si="5"/>
        <v>-92209.600000000006</v>
      </c>
      <c r="J23" s="39">
        <f t="shared" si="5"/>
        <v>-104019.20000000001</v>
      </c>
      <c r="K23" s="39">
        <f t="shared" si="5"/>
        <v>-115926.40000000001</v>
      </c>
      <c r="L23" s="39">
        <f t="shared" si="5"/>
        <v>-127886.40000000001</v>
      </c>
      <c r="M23" s="39">
        <f t="shared" si="5"/>
        <v>-139950.40000000002</v>
      </c>
    </row>
    <row r="24" spans="1:14" ht="15.75" customHeight="1" x14ac:dyDescent="0.25">
      <c r="A24" s="42" t="s">
        <v>117</v>
      </c>
      <c r="B24" s="43">
        <f>IFERROR(ROUND(B21/IFERROR(B14/'3_Demand'!B6,0),0),"-")</f>
        <v>-229</v>
      </c>
      <c r="C24" s="43">
        <f>IFERROR(ROUND(C21/IFERROR(C14/'3_Demand'!C6,0),0),"-")</f>
        <v>-237</v>
      </c>
      <c r="D24" s="43">
        <f>IFERROR(ROUND(D21/IFERROR(D14/'3_Demand'!D6,0),0),"-")</f>
        <v>-246</v>
      </c>
      <c r="E24" s="43">
        <f>IFERROR(ROUND(E21/IFERROR(E14/'3_Demand'!E6,0),0),"-")</f>
        <v>-255</v>
      </c>
      <c r="F24" s="43">
        <f>IFERROR(ROUND(F21/IFERROR(F14/'3_Demand'!F6,0),0),"-")</f>
        <v>-264</v>
      </c>
      <c r="G24" s="43">
        <f>IFERROR(ROUND(G21/IFERROR(G14/'3_Demand'!G6,0),0),"-")</f>
        <v>-275</v>
      </c>
      <c r="H24" s="43">
        <f>IFERROR(ROUND(H21/IFERROR(H14/'3_Demand'!H6,0),0),"-")</f>
        <v>-286</v>
      </c>
      <c r="I24" s="43">
        <f>IFERROR(ROUND(I21/IFERROR(I14/'3_Demand'!I6,0),0),"-")</f>
        <v>-299</v>
      </c>
      <c r="J24" s="43">
        <f>IFERROR(ROUND(J21/IFERROR(J14/'3_Demand'!J6,0),0),"-")</f>
        <v>-313</v>
      </c>
      <c r="K24" s="43">
        <f>IFERROR(ROUND(K21/IFERROR(K14/'3_Demand'!K6,0),0),"-")</f>
        <v>-327</v>
      </c>
      <c r="L24" s="43">
        <f>IFERROR(ROUND(L21/IFERROR(L14/'3_Demand'!L6,0),0),"-")</f>
        <v>-344</v>
      </c>
      <c r="M24" s="43">
        <f>IFERROR(ROUND(M21/IFERROR(M14/'3_Demand'!M6,0),0),"-")</f>
        <v>-362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showGridLines="0" zoomScaleNormal="100" workbookViewId="0">
      <selection sqref="A1:N1"/>
    </sheetView>
  </sheetViews>
  <sheetFormatPr defaultColWidth="8.7109375" defaultRowHeight="15" x14ac:dyDescent="0.25"/>
  <cols>
    <col min="1" max="1" width="35" style="7" customWidth="1"/>
    <col min="2" max="13" width="12" style="7" customWidth="1"/>
    <col min="14" max="14" width="14" style="7" customWidth="1"/>
  </cols>
  <sheetData>
    <row r="1" spans="1:14" ht="25.5" customHeight="1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" customHeight="1" x14ac:dyDescent="0.25">
      <c r="A2" s="21" t="s">
        <v>119</v>
      </c>
      <c r="B2" s="14" t="s">
        <v>59</v>
      </c>
      <c r="C2" s="14" t="s">
        <v>60</v>
      </c>
      <c r="D2" s="14" t="s">
        <v>61</v>
      </c>
      <c r="E2" s="14" t="s">
        <v>62</v>
      </c>
      <c r="F2" s="14" t="s">
        <v>63</v>
      </c>
      <c r="G2" s="14" t="s">
        <v>64</v>
      </c>
      <c r="H2" s="14" t="s">
        <v>65</v>
      </c>
      <c r="I2" s="14" t="s">
        <v>66</v>
      </c>
      <c r="J2" s="14" t="s">
        <v>67</v>
      </c>
      <c r="K2" s="14" t="s">
        <v>68</v>
      </c>
      <c r="L2" s="14" t="s">
        <v>69</v>
      </c>
      <c r="M2" s="14" t="s">
        <v>70</v>
      </c>
      <c r="N2" s="22" t="s">
        <v>120</v>
      </c>
    </row>
    <row r="3" spans="1:14" ht="15.75" customHeight="1" x14ac:dyDescent="0.25">
      <c r="A3" s="16" t="s">
        <v>121</v>
      </c>
      <c r="B3" s="44">
        <f>'3_Demand'!B6</f>
        <v>8</v>
      </c>
      <c r="C3" s="44">
        <f>'3_Demand'!C6</f>
        <v>9</v>
      </c>
      <c r="D3" s="44">
        <f>'3_Demand'!D6</f>
        <v>9</v>
      </c>
      <c r="E3" s="44">
        <f>'3_Demand'!E6</f>
        <v>11</v>
      </c>
      <c r="F3" s="44">
        <f>'3_Demand'!F6</f>
        <v>13</v>
      </c>
      <c r="G3" s="44">
        <f>'3_Demand'!G6</f>
        <v>15</v>
      </c>
      <c r="H3" s="44">
        <f>'3_Demand'!H6</f>
        <v>17</v>
      </c>
      <c r="I3" s="44">
        <f>'3_Demand'!I6</f>
        <v>20</v>
      </c>
      <c r="J3" s="44">
        <f>'3_Demand'!J6</f>
        <v>23</v>
      </c>
      <c r="K3" s="44">
        <f>'3_Demand'!K6</f>
        <v>27</v>
      </c>
      <c r="L3" s="44">
        <f>'3_Demand'!L6</f>
        <v>30</v>
      </c>
      <c r="M3" s="44">
        <f>'3_Demand'!M6</f>
        <v>35</v>
      </c>
      <c r="N3" s="27">
        <f t="shared" ref="N3:N13" si="0">AVERAGE(B3:M3)</f>
        <v>18.083333333333332</v>
      </c>
    </row>
    <row r="4" spans="1:14" ht="15.75" customHeight="1" x14ac:dyDescent="0.25">
      <c r="A4" s="16" t="s">
        <v>122</v>
      </c>
      <c r="B4" s="45">
        <f>IFERROR('5_P&amp;L'!B7/'3_Demand'!B6,0)</f>
        <v>65</v>
      </c>
      <c r="C4" s="45">
        <f>IFERROR('5_P&amp;L'!C7/'3_Demand'!C6,0)</f>
        <v>67</v>
      </c>
      <c r="D4" s="45">
        <f>IFERROR('5_P&amp;L'!D7/'3_Demand'!D6,0)</f>
        <v>69</v>
      </c>
      <c r="E4" s="45">
        <f>IFERROR('5_P&amp;L'!E7/'3_Demand'!E6,0)</f>
        <v>71</v>
      </c>
      <c r="F4" s="45">
        <f>IFERROR('5_P&amp;L'!F7/'3_Demand'!F6,0)</f>
        <v>73</v>
      </c>
      <c r="G4" s="45">
        <f>IFERROR('5_P&amp;L'!G7/'3_Demand'!G6,0)</f>
        <v>75</v>
      </c>
      <c r="H4" s="45">
        <f>IFERROR('5_P&amp;L'!H7/'3_Demand'!H6,0)</f>
        <v>77</v>
      </c>
      <c r="I4" s="45">
        <f>IFERROR('5_P&amp;L'!I7/'3_Demand'!I6,0)</f>
        <v>79</v>
      </c>
      <c r="J4" s="45">
        <f>IFERROR('5_P&amp;L'!J7/'3_Demand'!J6,0)</f>
        <v>81</v>
      </c>
      <c r="K4" s="45">
        <f>IFERROR('5_P&amp;L'!K7/'3_Demand'!K6,0)</f>
        <v>83</v>
      </c>
      <c r="L4" s="45">
        <f>IFERROR('5_P&amp;L'!L7/'3_Demand'!L6,0)</f>
        <v>85</v>
      </c>
      <c r="M4" s="45">
        <f>IFERROR('5_P&amp;L'!M7/'3_Demand'!M6,0)</f>
        <v>87</v>
      </c>
      <c r="N4" s="46">
        <f t="shared" si="0"/>
        <v>76</v>
      </c>
    </row>
    <row r="5" spans="1:14" ht="15.75" customHeight="1" x14ac:dyDescent="0.25">
      <c r="A5" s="16" t="s">
        <v>123</v>
      </c>
      <c r="B5" s="47">
        <f>IFERROR('5_P&amp;L'!B13/'3_Demand'!B6,0)</f>
        <v>113</v>
      </c>
      <c r="C5" s="47">
        <f>IFERROR('5_P&amp;L'!C13/'3_Demand'!C6,0)</f>
        <v>113.4</v>
      </c>
      <c r="D5" s="47">
        <f>IFERROR('5_P&amp;L'!D13/'3_Demand'!D6,0)</f>
        <v>113.80000000000001</v>
      </c>
      <c r="E5" s="47">
        <f>IFERROR('5_P&amp;L'!E13/'3_Demand'!E6,0)</f>
        <v>114.2</v>
      </c>
      <c r="F5" s="47">
        <f>IFERROR('5_P&amp;L'!F13/'3_Demand'!F6,0)</f>
        <v>114.6</v>
      </c>
      <c r="G5" s="47">
        <f>IFERROR('5_P&amp;L'!G13/'3_Demand'!G6,0)</f>
        <v>115</v>
      </c>
      <c r="H5" s="47">
        <f>IFERROR('5_P&amp;L'!H13/'3_Demand'!H6,0)</f>
        <v>115.39999999999999</v>
      </c>
      <c r="I5" s="47">
        <f>IFERROR('5_P&amp;L'!I13/'3_Demand'!I6,0)</f>
        <v>115.8</v>
      </c>
      <c r="J5" s="47">
        <f>IFERROR('5_P&amp;L'!J13/'3_Demand'!J6,0)</f>
        <v>116.2</v>
      </c>
      <c r="K5" s="47">
        <f>IFERROR('5_P&amp;L'!K13/'3_Demand'!K6,0)</f>
        <v>116.6</v>
      </c>
      <c r="L5" s="47">
        <f>IFERROR('5_P&amp;L'!L13/'3_Demand'!L6,0)</f>
        <v>117</v>
      </c>
      <c r="M5" s="47">
        <f>IFERROR('5_P&amp;L'!M13/'3_Demand'!M6,0)</f>
        <v>117.4</v>
      </c>
      <c r="N5" s="46">
        <f t="shared" si="0"/>
        <v>115.19999999999999</v>
      </c>
    </row>
    <row r="6" spans="1:14" ht="15.75" customHeight="1" x14ac:dyDescent="0.25">
      <c r="A6" s="16" t="s">
        <v>124</v>
      </c>
      <c r="B6" s="45">
        <f>IFERROR('4_Costs'!B4/'3_Demand'!B6,0)</f>
        <v>13</v>
      </c>
      <c r="C6" s="45">
        <f>IFERROR('4_Costs'!C4/'3_Demand'!C6,0)</f>
        <v>13.4</v>
      </c>
      <c r="D6" s="45">
        <f>IFERROR('4_Costs'!D4/'3_Demand'!D6,0)</f>
        <v>13.8</v>
      </c>
      <c r="E6" s="45">
        <f>IFERROR('4_Costs'!E4/'3_Demand'!E6,0)</f>
        <v>14.200000000000001</v>
      </c>
      <c r="F6" s="45">
        <f>IFERROR('4_Costs'!F4/'3_Demand'!F6,0)</f>
        <v>14.600000000000001</v>
      </c>
      <c r="G6" s="45">
        <f>IFERROR('4_Costs'!G4/'3_Demand'!G6,0)</f>
        <v>15</v>
      </c>
      <c r="H6" s="45">
        <f>IFERROR('4_Costs'!H4/'3_Demand'!H6,0)</f>
        <v>15.4</v>
      </c>
      <c r="I6" s="45">
        <f>IFERROR('4_Costs'!I4/'3_Demand'!I6,0)</f>
        <v>15.8</v>
      </c>
      <c r="J6" s="45">
        <f>IFERROR('4_Costs'!J4/'3_Demand'!J6,0)</f>
        <v>16.2</v>
      </c>
      <c r="K6" s="45">
        <f>IFERROR('4_Costs'!K4/'3_Demand'!K6,0)</f>
        <v>16.599999999999998</v>
      </c>
      <c r="L6" s="45">
        <f>IFERROR('4_Costs'!L4/'3_Demand'!L6,0)</f>
        <v>17</v>
      </c>
      <c r="M6" s="45">
        <f>IFERROR('4_Costs'!M4/'3_Demand'!M6,0)</f>
        <v>17.399999999999999</v>
      </c>
      <c r="N6" s="46">
        <f t="shared" si="0"/>
        <v>15.200000000000001</v>
      </c>
    </row>
    <row r="7" spans="1:14" ht="15.75" customHeight="1" x14ac:dyDescent="0.25">
      <c r="A7" s="16" t="s">
        <v>125</v>
      </c>
      <c r="B7" s="45">
        <f>IFERROR('4_Costs'!B5/'3_Demand'!B6,0)</f>
        <v>50</v>
      </c>
      <c r="C7" s="45">
        <f>IFERROR('4_Costs'!C5/'3_Demand'!C6,0)</f>
        <v>50</v>
      </c>
      <c r="D7" s="45">
        <f>IFERROR('4_Costs'!D5/'3_Demand'!D6,0)</f>
        <v>50</v>
      </c>
      <c r="E7" s="45">
        <f>IFERROR('4_Costs'!E5/'3_Demand'!E6,0)</f>
        <v>50</v>
      </c>
      <c r="F7" s="45">
        <f>IFERROR('4_Costs'!F5/'3_Demand'!F6,0)</f>
        <v>50</v>
      </c>
      <c r="G7" s="45">
        <f>IFERROR('4_Costs'!G5/'3_Demand'!G6,0)</f>
        <v>50</v>
      </c>
      <c r="H7" s="45">
        <f>IFERROR('4_Costs'!H5/'3_Demand'!H6,0)</f>
        <v>50</v>
      </c>
      <c r="I7" s="45">
        <f>IFERROR('4_Costs'!I5/'3_Demand'!I6,0)</f>
        <v>50</v>
      </c>
      <c r="J7" s="45">
        <f>IFERROR('4_Costs'!J5/'3_Demand'!J6,0)</f>
        <v>50</v>
      </c>
      <c r="K7" s="45">
        <f>IFERROR('4_Costs'!K5/'3_Demand'!K6,0)</f>
        <v>50</v>
      </c>
      <c r="L7" s="45">
        <f>IFERROR('4_Costs'!L5/'3_Demand'!L6,0)</f>
        <v>50</v>
      </c>
      <c r="M7" s="45">
        <f>IFERROR('4_Costs'!M5/'3_Demand'!M6,0)</f>
        <v>50</v>
      </c>
      <c r="N7" s="46">
        <f t="shared" si="0"/>
        <v>50</v>
      </c>
    </row>
    <row r="8" spans="1:14" ht="15.75" customHeight="1" x14ac:dyDescent="0.25">
      <c r="A8" s="16" t="s">
        <v>126</v>
      </c>
      <c r="B8" s="45">
        <f>IFERROR('4_Costs'!B6/'3_Demand'!B6,0)</f>
        <v>30</v>
      </c>
      <c r="C8" s="45">
        <f>IFERROR('4_Costs'!C6/'3_Demand'!C6,0)</f>
        <v>30</v>
      </c>
      <c r="D8" s="45">
        <f>IFERROR('4_Costs'!D6/'3_Demand'!D6,0)</f>
        <v>30</v>
      </c>
      <c r="E8" s="45">
        <f>IFERROR('4_Costs'!E6/'3_Demand'!E6,0)</f>
        <v>30</v>
      </c>
      <c r="F8" s="45">
        <f>IFERROR('4_Costs'!F6/'3_Demand'!F6,0)</f>
        <v>30</v>
      </c>
      <c r="G8" s="45">
        <f>IFERROR('4_Costs'!G6/'3_Demand'!G6,0)</f>
        <v>30</v>
      </c>
      <c r="H8" s="45">
        <f>IFERROR('4_Costs'!H6/'3_Demand'!H6,0)</f>
        <v>30</v>
      </c>
      <c r="I8" s="45">
        <f>IFERROR('4_Costs'!I6/'3_Demand'!I6,0)</f>
        <v>30</v>
      </c>
      <c r="J8" s="45">
        <f>IFERROR('4_Costs'!J6/'3_Demand'!J6,0)</f>
        <v>30</v>
      </c>
      <c r="K8" s="45">
        <f>IFERROR('4_Costs'!K6/'3_Demand'!K6,0)</f>
        <v>30</v>
      </c>
      <c r="L8" s="45">
        <f>IFERROR('4_Costs'!L6/'3_Demand'!L6,0)</f>
        <v>30</v>
      </c>
      <c r="M8" s="45">
        <f>IFERROR('4_Costs'!M6/'3_Demand'!M6,0)</f>
        <v>30</v>
      </c>
      <c r="N8" s="46">
        <f t="shared" si="0"/>
        <v>30</v>
      </c>
    </row>
    <row r="9" spans="1:14" ht="15.75" customHeight="1" x14ac:dyDescent="0.25">
      <c r="A9" s="16" t="s">
        <v>127</v>
      </c>
      <c r="B9" s="45">
        <f>IFERROR('4_Costs'!B7/'3_Demand'!B6,0)</f>
        <v>20</v>
      </c>
      <c r="C9" s="45">
        <f>IFERROR('4_Costs'!C7/'3_Demand'!C6,0)</f>
        <v>20</v>
      </c>
      <c r="D9" s="45">
        <f>IFERROR('4_Costs'!D7/'3_Demand'!D6,0)</f>
        <v>20</v>
      </c>
      <c r="E9" s="45">
        <f>IFERROR('4_Costs'!E7/'3_Demand'!E6,0)</f>
        <v>20</v>
      </c>
      <c r="F9" s="45">
        <f>IFERROR('4_Costs'!F7/'3_Demand'!F6,0)</f>
        <v>20</v>
      </c>
      <c r="G9" s="45">
        <f>IFERROR('4_Costs'!G7/'3_Demand'!G6,0)</f>
        <v>20</v>
      </c>
      <c r="H9" s="45">
        <f>IFERROR('4_Costs'!H7/'3_Demand'!H6,0)</f>
        <v>20</v>
      </c>
      <c r="I9" s="45">
        <f>IFERROR('4_Costs'!I7/'3_Demand'!I6,0)</f>
        <v>20</v>
      </c>
      <c r="J9" s="45">
        <f>IFERROR('4_Costs'!J7/'3_Demand'!J6,0)</f>
        <v>20</v>
      </c>
      <c r="K9" s="45">
        <f>IFERROR('4_Costs'!K7/'3_Demand'!K6,0)</f>
        <v>20</v>
      </c>
      <c r="L9" s="45">
        <f>IFERROR('4_Costs'!L7/'3_Demand'!L6,0)</f>
        <v>20</v>
      </c>
      <c r="M9" s="45">
        <f>IFERROR('4_Costs'!M7/'3_Demand'!M6,0)</f>
        <v>20</v>
      </c>
      <c r="N9" s="46">
        <f t="shared" si="0"/>
        <v>20</v>
      </c>
    </row>
    <row r="10" spans="1:14" ht="15.75" customHeight="1" x14ac:dyDescent="0.25">
      <c r="A10" s="37" t="s">
        <v>128</v>
      </c>
      <c r="B10" s="48">
        <f>IFERROR('5_P&amp;L'!B14/'3_Demand'!B6,0)</f>
        <v>-48</v>
      </c>
      <c r="C10" s="48">
        <f>IFERROR('5_P&amp;L'!C14/'3_Demand'!C6,0)</f>
        <v>-46.400000000000006</v>
      </c>
      <c r="D10" s="48">
        <f>IFERROR('5_P&amp;L'!D14/'3_Demand'!D6,0)</f>
        <v>-44.800000000000004</v>
      </c>
      <c r="E10" s="48">
        <f>IFERROR('5_P&amp;L'!E14/'3_Demand'!E6,0)</f>
        <v>-43.2</v>
      </c>
      <c r="F10" s="48">
        <f>IFERROR('5_P&amp;L'!F14/'3_Demand'!F6,0)</f>
        <v>-41.599999999999994</v>
      </c>
      <c r="G10" s="48">
        <f>IFERROR('5_P&amp;L'!G14/'3_Demand'!G6,0)</f>
        <v>-40</v>
      </c>
      <c r="H10" s="48">
        <f>IFERROR('5_P&amp;L'!H14/'3_Demand'!H6,0)</f>
        <v>-38.4</v>
      </c>
      <c r="I10" s="48">
        <f>IFERROR('5_P&amp;L'!I14/'3_Demand'!I6,0)</f>
        <v>-36.799999999999997</v>
      </c>
      <c r="J10" s="48">
        <f>IFERROR('5_P&amp;L'!J14/'3_Demand'!J6,0)</f>
        <v>-35.199999999999996</v>
      </c>
      <c r="K10" s="48">
        <f>IFERROR('5_P&amp;L'!K14/'3_Demand'!K6,0)</f>
        <v>-33.599999999999994</v>
      </c>
      <c r="L10" s="48">
        <f>IFERROR('5_P&amp;L'!L14/'3_Demand'!L6,0)</f>
        <v>-32</v>
      </c>
      <c r="M10" s="48">
        <f>IFERROR('5_P&amp;L'!M14/'3_Demand'!M6,0)</f>
        <v>-30.4</v>
      </c>
      <c r="N10" s="46">
        <f t="shared" si="0"/>
        <v>-39.199999999999996</v>
      </c>
    </row>
    <row r="11" spans="1:14" ht="15.75" customHeight="1" x14ac:dyDescent="0.25">
      <c r="A11" s="37" t="s">
        <v>129</v>
      </c>
      <c r="B11" s="49">
        <f>IFERROR('5_P&amp;L'!B14/'5_P&amp;L'!B7,0)</f>
        <v>-0.7384615384615385</v>
      </c>
      <c r="C11" s="49">
        <f>IFERROR('5_P&amp;L'!C14/'5_P&amp;L'!C7,0)</f>
        <v>-0.69253731343283587</v>
      </c>
      <c r="D11" s="49">
        <f>IFERROR('5_P&amp;L'!D14/'5_P&amp;L'!D7,0)</f>
        <v>-0.64927536231884064</v>
      </c>
      <c r="E11" s="49">
        <f>IFERROR('5_P&amp;L'!E14/'5_P&amp;L'!E7,0)</f>
        <v>-0.60845070422535219</v>
      </c>
      <c r="F11" s="49">
        <f>IFERROR('5_P&amp;L'!F14/'5_P&amp;L'!F7,0)</f>
        <v>-0.56986301369863013</v>
      </c>
      <c r="G11" s="49">
        <f>IFERROR('5_P&amp;L'!G14/'5_P&amp;L'!G7,0)</f>
        <v>-0.53333333333333333</v>
      </c>
      <c r="H11" s="49">
        <f>IFERROR('5_P&amp;L'!H14/'5_P&amp;L'!H7,0)</f>
        <v>-0.49870129870129865</v>
      </c>
      <c r="I11" s="49">
        <f>IFERROR('5_P&amp;L'!I14/'5_P&amp;L'!I7,0)</f>
        <v>-0.46582278481012657</v>
      </c>
      <c r="J11" s="49">
        <f>IFERROR('5_P&amp;L'!J14/'5_P&amp;L'!J7,0)</f>
        <v>-0.43456790123456784</v>
      </c>
      <c r="K11" s="49">
        <f>IFERROR('5_P&amp;L'!K14/'5_P&amp;L'!K7,0)</f>
        <v>-0.40481927710843363</v>
      </c>
      <c r="L11" s="49">
        <f>IFERROR('5_P&amp;L'!L14/'5_P&amp;L'!L7,0)</f>
        <v>-0.37647058823529411</v>
      </c>
      <c r="M11" s="49">
        <f>IFERROR('5_P&amp;L'!M14/'5_P&amp;L'!M7,0)</f>
        <v>-0.34942528735632183</v>
      </c>
      <c r="N11" s="41">
        <f t="shared" si="0"/>
        <v>-0.52681070024304777</v>
      </c>
    </row>
    <row r="12" spans="1:14" ht="15.75" customHeight="1" x14ac:dyDescent="0.25">
      <c r="A12" s="37" t="s">
        <v>130</v>
      </c>
      <c r="B12" s="43">
        <f>IFERROR(ROUND('5_P&amp;L'!B19/IFERROR('5_P&amp;L'!B14/'3_Demand'!B6,1),0),0)</f>
        <v>-63</v>
      </c>
      <c r="C12" s="43">
        <f>IFERROR(ROUND('5_P&amp;L'!C19/IFERROR('5_P&amp;L'!C14/'3_Demand'!C6,1),0),0)</f>
        <v>-65</v>
      </c>
      <c r="D12" s="43">
        <f>IFERROR(ROUND('5_P&amp;L'!D19/IFERROR('5_P&amp;L'!D14/'3_Demand'!D6,1),0),0)</f>
        <v>-67</v>
      </c>
      <c r="E12" s="43">
        <f>IFERROR(ROUND('5_P&amp;L'!E19/IFERROR('5_P&amp;L'!E14/'3_Demand'!E6,1),0),0)</f>
        <v>-69</v>
      </c>
      <c r="F12" s="43">
        <f>IFERROR(ROUND('5_P&amp;L'!F19/IFERROR('5_P&amp;L'!F14/'3_Demand'!F6,1),0),0)</f>
        <v>-72</v>
      </c>
      <c r="G12" s="43">
        <f>IFERROR(ROUND('5_P&amp;L'!G19/IFERROR('5_P&amp;L'!G14/'3_Demand'!G6,1),0),0)</f>
        <v>-75</v>
      </c>
      <c r="H12" s="43">
        <f>IFERROR(ROUND('5_P&amp;L'!H19/IFERROR('5_P&amp;L'!H14/'3_Demand'!H6,1),0),0)</f>
        <v>-78</v>
      </c>
      <c r="I12" s="43">
        <f>IFERROR(ROUND('5_P&amp;L'!I19/IFERROR('5_P&amp;L'!I14/'3_Demand'!I6,1),0),0)</f>
        <v>-82</v>
      </c>
      <c r="J12" s="43">
        <f>IFERROR(ROUND('5_P&amp;L'!J19/IFERROR('5_P&amp;L'!J14/'3_Demand'!J6,1),0),0)</f>
        <v>-85</v>
      </c>
      <c r="K12" s="43">
        <f>IFERROR(ROUND('5_P&amp;L'!K19/IFERROR('5_P&amp;L'!K14/'3_Demand'!K6,1),0),0)</f>
        <v>-89</v>
      </c>
      <c r="L12" s="43">
        <f>IFERROR(ROUND('5_P&amp;L'!L19/IFERROR('5_P&amp;L'!L14/'3_Demand'!L6,1),0),0)</f>
        <v>-94</v>
      </c>
      <c r="M12" s="43">
        <f>IFERROR(ROUND('5_P&amp;L'!M19/IFERROR('5_P&amp;L'!M14/'3_Demand'!M6,1),0),0)</f>
        <v>-99</v>
      </c>
      <c r="N12" s="27">
        <f t="shared" si="0"/>
        <v>-78.166666666666671</v>
      </c>
    </row>
    <row r="13" spans="1:14" ht="15.75" customHeight="1" x14ac:dyDescent="0.25">
      <c r="A13" s="50" t="s">
        <v>131</v>
      </c>
      <c r="B13" s="51">
        <f>IFERROR('3_Demand'!B8*(1-'1_Assumptions'!$B$4)/'3_Demand'!B6,0)</f>
        <v>73.125</v>
      </c>
      <c r="C13" s="51">
        <f>IFERROR('3_Demand'!C8*(1-'1_Assumptions'!$B$4)/'3_Demand'!C6,0)</f>
        <v>67</v>
      </c>
      <c r="D13" s="51">
        <f>IFERROR('3_Demand'!D8*(1-'1_Assumptions'!$B$4)/'3_Demand'!D6,0)</f>
        <v>69</v>
      </c>
      <c r="E13" s="51">
        <f>IFERROR('3_Demand'!E8*(1-'1_Assumptions'!$B$4)/'3_Demand'!E6,0)</f>
        <v>58.090909090909093</v>
      </c>
      <c r="F13" s="51">
        <f>IFERROR('3_Demand'!F8*(1-'1_Assumptions'!$B$4)/'3_Demand'!F6,0)</f>
        <v>50.53846153846154</v>
      </c>
      <c r="G13" s="51">
        <f>IFERROR('3_Demand'!G8*(1-'1_Assumptions'!$B$4)/'3_Demand'!G6,0)</f>
        <v>45</v>
      </c>
      <c r="H13" s="51">
        <f>IFERROR('3_Demand'!H8*(1-'1_Assumptions'!$B$4)/'3_Demand'!H6,0)</f>
        <v>40.764705882352942</v>
      </c>
      <c r="I13" s="51">
        <f>IFERROR('3_Demand'!I8*(1-'1_Assumptions'!$B$4)/'3_Demand'!I6,0)</f>
        <v>35.549999999999997</v>
      </c>
      <c r="J13" s="51">
        <f>IFERROR('3_Demand'!J8*(1-'1_Assumptions'!$B$4)/'3_Demand'!J6,0)</f>
        <v>31.695652173913043</v>
      </c>
      <c r="K13" s="51">
        <f>IFERROR('3_Demand'!K8*(1-'1_Assumptions'!$B$4)/'3_Demand'!K6,0)</f>
        <v>27.666666666666668</v>
      </c>
      <c r="L13" s="51">
        <f>IFERROR('3_Demand'!L8*(1-'1_Assumptions'!$B$4)/'3_Demand'!L6,0)</f>
        <v>25.5</v>
      </c>
      <c r="M13" s="51">
        <f>IFERROR('3_Demand'!M8*(1-'1_Assumptions'!$B$4)/'3_Demand'!M6,0)</f>
        <v>22.37142857142857</v>
      </c>
      <c r="N13" s="46">
        <f t="shared" si="0"/>
        <v>45.525235326977658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showGridLines="0" tabSelected="1" zoomScaleNormal="100" workbookViewId="0">
      <selection sqref="A1:E1"/>
    </sheetView>
  </sheetViews>
  <sheetFormatPr defaultColWidth="8.7109375" defaultRowHeight="15" x14ac:dyDescent="0.25"/>
  <cols>
    <col min="1" max="1" width="32" style="7" customWidth="1"/>
    <col min="2" max="4" width="18" style="7" customWidth="1"/>
    <col min="5" max="5" width="28" style="7" customWidth="1"/>
  </cols>
  <sheetData>
    <row r="1" spans="1:5" ht="25.5" customHeight="1" x14ac:dyDescent="0.25">
      <c r="A1" s="2" t="s">
        <v>132</v>
      </c>
      <c r="B1" s="2"/>
      <c r="C1" s="2"/>
      <c r="D1" s="2"/>
      <c r="E1" s="2"/>
    </row>
    <row r="2" spans="1:5" ht="15" customHeight="1" x14ac:dyDescent="0.25">
      <c r="A2" s="1" t="s">
        <v>133</v>
      </c>
      <c r="B2" s="1"/>
      <c r="C2" s="1"/>
      <c r="D2" s="1"/>
      <c r="E2" s="1"/>
    </row>
    <row r="3" spans="1:5" ht="15" customHeight="1" x14ac:dyDescent="0.25">
      <c r="A3" s="14" t="s">
        <v>134</v>
      </c>
      <c r="B3" s="52" t="s">
        <v>135</v>
      </c>
      <c r="C3" s="14" t="s">
        <v>136</v>
      </c>
      <c r="D3" s="53" t="s">
        <v>137</v>
      </c>
      <c r="E3" s="14" t="s">
        <v>53</v>
      </c>
    </row>
    <row r="4" spans="1:5" ht="15.75" customHeight="1" x14ac:dyDescent="0.25">
      <c r="A4" s="36" t="s">
        <v>138</v>
      </c>
      <c r="B4" s="24"/>
      <c r="C4" s="24"/>
      <c r="D4" s="24"/>
      <c r="E4" s="24"/>
    </row>
    <row r="5" spans="1:5" ht="15.75" customHeight="1" x14ac:dyDescent="0.25">
      <c r="A5" s="8" t="s">
        <v>139</v>
      </c>
      <c r="B5" s="54">
        <v>0.08</v>
      </c>
      <c r="C5" s="54">
        <v>0.1</v>
      </c>
      <c r="D5" s="54">
        <v>0.14000000000000001</v>
      </c>
      <c r="E5" s="55" t="s">
        <v>140</v>
      </c>
    </row>
    <row r="6" spans="1:5" ht="15.75" customHeight="1" x14ac:dyDescent="0.25">
      <c r="A6" s="8" t="s">
        <v>141</v>
      </c>
      <c r="B6" s="56">
        <v>5</v>
      </c>
      <c r="C6" s="57">
        <f>'1_Assumptions'!B4</f>
        <v>0.1</v>
      </c>
      <c r="D6" s="56">
        <v>14</v>
      </c>
      <c r="E6" s="55"/>
    </row>
    <row r="7" spans="1:5" ht="15.75" customHeight="1" x14ac:dyDescent="0.25">
      <c r="A7" s="8" t="s">
        <v>142</v>
      </c>
      <c r="B7" s="54">
        <v>0.08</v>
      </c>
      <c r="C7" s="54">
        <v>0.15</v>
      </c>
      <c r="D7" s="54">
        <v>0.22</v>
      </c>
      <c r="E7" s="55" t="s">
        <v>143</v>
      </c>
    </row>
    <row r="8" spans="1:5" ht="15.75" customHeight="1" x14ac:dyDescent="0.25">
      <c r="A8" s="8" t="s">
        <v>144</v>
      </c>
      <c r="B8" s="58">
        <v>550</v>
      </c>
      <c r="C8" s="58">
        <v>650</v>
      </c>
      <c r="D8" s="58">
        <v>800</v>
      </c>
      <c r="E8" s="55"/>
    </row>
    <row r="9" spans="1:5" ht="15.75" customHeight="1" x14ac:dyDescent="0.25">
      <c r="A9" s="8" t="s">
        <v>13</v>
      </c>
      <c r="B9" s="58">
        <v>10</v>
      </c>
      <c r="C9" s="58">
        <v>20</v>
      </c>
      <c r="D9" s="58">
        <v>30</v>
      </c>
      <c r="E9" s="55" t="s">
        <v>145</v>
      </c>
    </row>
    <row r="10" spans="1:5" ht="15.75" customHeight="1" x14ac:dyDescent="0.25">
      <c r="A10" s="36" t="s">
        <v>146</v>
      </c>
      <c r="B10" s="24"/>
      <c r="C10" s="24"/>
      <c r="D10" s="24"/>
      <c r="E10" s="24"/>
    </row>
    <row r="11" spans="1:5" ht="15.75" customHeight="1" x14ac:dyDescent="0.25">
      <c r="A11" s="8" t="s">
        <v>147</v>
      </c>
      <c r="B11" s="44">
        <v>93</v>
      </c>
      <c r="C11" s="44">
        <v>219</v>
      </c>
      <c r="D11" s="44">
        <v>597</v>
      </c>
      <c r="E11" s="55"/>
    </row>
    <row r="12" spans="1:5" ht="15.75" customHeight="1" x14ac:dyDescent="0.25">
      <c r="A12" s="8" t="s">
        <v>148</v>
      </c>
      <c r="B12" s="31">
        <v>57070</v>
      </c>
      <c r="C12" s="31">
        <v>173330</v>
      </c>
      <c r="D12" s="31">
        <v>615180</v>
      </c>
      <c r="E12" s="55"/>
    </row>
    <row r="13" spans="1:5" ht="15.75" customHeight="1" x14ac:dyDescent="0.25">
      <c r="A13" s="8" t="s">
        <v>149</v>
      </c>
      <c r="B13" s="31">
        <v>4565.6000000000004</v>
      </c>
      <c r="C13" s="31">
        <v>17333</v>
      </c>
      <c r="D13" s="31">
        <v>86125.2</v>
      </c>
      <c r="E13" s="55"/>
    </row>
    <row r="14" spans="1:5" ht="15.75" customHeight="1" x14ac:dyDescent="0.25">
      <c r="A14" s="8" t="s">
        <v>150</v>
      </c>
      <c r="B14" s="31">
        <v>142641.4</v>
      </c>
      <c r="C14" s="31">
        <v>158566.6</v>
      </c>
      <c r="D14" s="31">
        <v>207103.6</v>
      </c>
      <c r="E14" s="55"/>
    </row>
    <row r="15" spans="1:5" ht="15.75" customHeight="1" x14ac:dyDescent="0.25">
      <c r="A15" s="8" t="s">
        <v>151</v>
      </c>
      <c r="B15" s="59">
        <v>-138075.79999999999</v>
      </c>
      <c r="C15" s="59">
        <v>-141233.60000000001</v>
      </c>
      <c r="D15" s="59">
        <v>-120978.4</v>
      </c>
      <c r="E15" s="55"/>
    </row>
    <row r="16" spans="1:5" ht="15.75" customHeight="1" x14ac:dyDescent="0.25">
      <c r="A16" s="8" t="s">
        <v>152</v>
      </c>
      <c r="B16" s="60" t="s">
        <v>153</v>
      </c>
      <c r="C16" s="60" t="s">
        <v>153</v>
      </c>
      <c r="D16" s="60" t="s">
        <v>153</v>
      </c>
      <c r="E16" s="55" t="s">
        <v>154</v>
      </c>
    </row>
    <row r="17" spans="1:5" ht="15.75" customHeight="1" x14ac:dyDescent="0.25">
      <c r="A17" s="8" t="s">
        <v>155</v>
      </c>
      <c r="B17" s="44">
        <v>30</v>
      </c>
      <c r="C17" s="44">
        <v>30</v>
      </c>
      <c r="D17" s="44">
        <v>30</v>
      </c>
      <c r="E17" s="55"/>
    </row>
    <row r="18" spans="1:5" ht="15.75" customHeight="1" x14ac:dyDescent="0.25">
      <c r="A18" s="36" t="s">
        <v>156</v>
      </c>
      <c r="B18" s="24"/>
      <c r="C18" s="24"/>
      <c r="D18" s="24"/>
      <c r="E18" s="24"/>
    </row>
    <row r="19" spans="1:5" ht="36" customHeight="1" x14ac:dyDescent="0.25">
      <c r="A19" s="8" t="s">
        <v>157</v>
      </c>
      <c r="B19" s="61" t="s">
        <v>158</v>
      </c>
      <c r="C19" s="61" t="s">
        <v>159</v>
      </c>
      <c r="D19" s="61" t="s">
        <v>160</v>
      </c>
      <c r="E19" s="55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1_Assumptions</vt:lpstr>
      <vt:lpstr>2_Artisans</vt:lpstr>
      <vt:lpstr>3_Demand</vt:lpstr>
      <vt:lpstr>4_Costs</vt:lpstr>
      <vt:lpstr>5_P&amp;L</vt:lpstr>
      <vt:lpstr>6_UnitEconomics</vt:lpstr>
      <vt:lpstr>7_Scenarios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lakshya</cp:lastModifiedBy>
  <cp:revision>0</cp:revision>
  <dcterms:created xsi:type="dcterms:W3CDTF">2026-06-22T05:12:27Z</dcterms:created>
  <dcterms:modified xsi:type="dcterms:W3CDTF">2026-06-22T07:56:11Z</dcterms:modified>
  <dc:language>en-US</dc:language>
</cp:coreProperties>
</file>